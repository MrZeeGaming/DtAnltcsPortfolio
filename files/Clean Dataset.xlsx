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ZherwinBC302\"/>
    </mc:Choice>
  </mc:AlternateContent>
  <bookViews>
    <workbookView xWindow="900" yWindow="675" windowWidth="26235" windowHeight="14040" tabRatio="300"/>
  </bookViews>
  <sheets>
    <sheet name="BikeSales_Fact" sheetId="2" r:id="rId1"/>
    <sheet name="Bike Sales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<sst xmlns="http://schemas.openxmlformats.org/spreadsheetml/2006/main" count="1719" uniqueCount="171">
  <si>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</si>
  <si>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</si>
  <si>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</si>
  <si>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</si>
  <si>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</si>
  <si>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</si>
  <si>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</si>
  <si>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</si>
  <si>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</si>
  <si>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</si>
  <si>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</si>
  <si>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</si>
  <si>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</si>
  <si>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</si>
  <si>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</si>
  <si>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</si>
  <si>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</si>
  <si>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</si>
  <si>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</si>
  <si>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</si>
  <si>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</si>
  <si>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</si>
  <si>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</si>
  <si>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</si>
  <si>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</si>
  <si>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</si>
  <si>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</si>
  <si>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</si>
  <si>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</si>
  <si>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</si>
  <si>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</si>
  <si>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</si>
  <si>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</si>
  <si>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</si>
  <si>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</si>
  <si>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</si>
  <si>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</si>
  <si>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</si>
  <si>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</si>
  <si>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</si>
  <si>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</si>
  <si>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</si>
  <si>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</si>
  <si>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</si>
  <si>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</si>
  <si>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</si>
  <si>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</si>
  <si>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</si>
  <si>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</si>
  <si>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</si>
  <si>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</si>
  <si>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</si>
  <si>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</si>
  <si>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</si>
  <si>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</si>
  <si>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</si>
  <si>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</si>
  <si>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</si>
  <si>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</si>
  <si>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</si>
  <si>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</si>
  <si>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</si>
  <si>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</si>
  <si>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</si>
  <si>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</si>
  <si>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</si>
  <si>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</si>
  <si>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</si>
  <si>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</si>
  <si>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</si>
  <si>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</si>
  <si>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</si>
  <si>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</si>
  <si>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</si>
  <si>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</si>
  <si>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</si>
  <si>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</si>
  <si>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</si>
  <si>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</si>
  <si>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</si>
  <si>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</si>
  <si>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</si>
  <si>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</si>
  <si>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</si>
  <si>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</si>
  <si>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</si>
  <si>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</si>
  <si>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</si>
  <si>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</si>
  <si>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</si>
  <si>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</si>
  <si>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</si>
  <si>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</si>
  <si>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</si>
  <si>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</si>
  <si>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</si>
  <si>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</si>
  <si>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</si>
  <si>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</si>
  <si>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</si>
  <si>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</si>
  <si>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</si>
  <si>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</si>
  <si>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</si>
  <si>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</si>
  <si>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</si>
  <si>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</si>
  <si>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</si>
  <si>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</si>
  <si>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</si>
  <si>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</si>
  <si>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</si>
  <si>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</si>
  <si>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</si>
  <si>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</si>
  <si>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</si>
  <si>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</si>
  <si>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</si>
  <si>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</si>
  <si>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</si>
  <si>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</si>
  <si>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</si>
  <si>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</si>
  <si>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</si>
  <si>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</si>
  <si>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</si>
  <si>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</si>
  <si>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</si>
  <si>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</si>
  <si>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</si>
  <si>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</si>
  <si>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</si>
  <si>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</si>
  <si>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</si>
  <si>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</si>
  <si>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</si>
  <si>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</si>
  <si>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</si>
  <si>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</si>
  <si>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</si>
  <si>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</si>
  <si>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</si>
  <si>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</si>
  <si>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</si>
  <si>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</si>
  <si>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</si>
  <si>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</si>
  <si>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</si>
  <si>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</si>
  <si>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</si>
  <si>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</si>
  <si>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</si>
  <si>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</si>
  <si>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</si>
  <si>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</si>
  <si>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</si>
  <si>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</si>
  <si>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</si>
  <si>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</si>
  <si>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Model</t>
  </si>
  <si>
    <t>Color</t>
  </si>
  <si>
    <t>Size</t>
  </si>
  <si>
    <t>Female</t>
  </si>
  <si>
    <t>Mountain-200</t>
  </si>
  <si>
    <t>Black</t>
  </si>
  <si>
    <t>000261696</t>
  </si>
  <si>
    <t>Male</t>
  </si>
  <si>
    <t>Silver</t>
  </si>
  <si>
    <t>Mountain-400-W</t>
  </si>
  <si>
    <t>Mountain-500</t>
  </si>
  <si>
    <t>Mountain-100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</si>
</sst>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_);[Red]\(&quot;$&quot;#,##0.00\)"/>
    <numFmt numFmtId="166" formatCode="[$$-409]#,##0.00"/>
    <numFmt numFmtId="168" formatCode="m/d/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166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zoomScale="85" zoomScaleNormal="85" workbookViewId="0">
      <selection activeCell="V8" sqref="V8"/>
    </sheetView>
  </sheetViews>
  <sheetFormatPr defaultRowHeight="15" x14ac:dyDescent="0.25"/>
  <cols>
    <col min="1" max="1" width="13.28515625" bestFit="1" customWidth="1"/>
    <col min="2" max="2" width="8.85546875" bestFit="1" customWidth="1"/>
    <col min="3" max="3" width="4.5703125" bestFit="1" customWidth="1"/>
    <col min="4" max="4" width="10.42578125" bestFit="1" customWidth="1"/>
    <col min="5" max="5" width="5.140625" bestFit="1" customWidth="1"/>
    <col min="6" max="6" width="14.140625" bestFit="1" customWidth="1"/>
    <col min="7" max="7" width="20" style="8" bestFit="1" customWidth="1"/>
    <col min="8" max="8" width="17.5703125" bestFit="1" customWidth="1"/>
    <col min="9" max="9" width="16" bestFit="1" customWidth="1"/>
    <col min="10" max="10" width="21" bestFit="1" customWidth="1"/>
    <col min="11" max="11" width="16.85546875" bestFit="1" customWidth="1"/>
    <col min="12" max="12" width="15.7109375" bestFit="1" customWidth="1"/>
    <col min="13" max="13" width="16.42578125" bestFit="1" customWidth="1"/>
    <col min="14" max="14" width="6.140625" bestFit="1" customWidth="1"/>
    <col min="15" max="15" width="4.5703125" bestFit="1" customWidth="1"/>
    <col min="16" max="16" width="15" bestFit="1" customWidth="1"/>
    <col min="17" max="17" width="10.7109375" bestFit="1" customWidth="1"/>
    <col min="18" max="18" width="11.28515625" bestFit="1" customWidth="1"/>
    <col min="19" max="20" width="9.28515625" bestFit="1" customWidth="1"/>
    <col min="21" max="21" width="10.28515625" bestFit="1" customWidth="1"/>
  </cols>
  <sheetData>
    <row r="1" spans="1:21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159</v>
      </c>
      <c r="N1" s="4" t="s">
        <v>160</v>
      </c>
      <c r="O1" s="4" t="s">
        <v>161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25">
      <c r="A2" t="s">
        <v>19</v>
      </c>
      <c r="B2" s="16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162</v>
      </c>
      <c r="I2" t="s">
        <v>23</v>
      </c>
      <c r="J2" t="s">
        <v>24</v>
      </c>
      <c r="K2" t="s">
        <v>25</v>
      </c>
      <c r="L2" t="s">
        <v>26</v>
      </c>
      <c r="M2" t="s">
        <v>163</v>
      </c>
      <c r="N2" t="s">
        <v>164</v>
      </c>
      <c r="O2">
        <v>46</v>
      </c>
      <c r="P2">
        <v>4</v>
      </c>
      <c r="Q2" s="15">
        <v>1252</v>
      </c>
      <c r="R2" s="15">
        <v>2295</v>
      </c>
      <c r="S2" s="15">
        <v>4172</v>
      </c>
      <c r="T2" s="15">
        <f t="shared" ref="T2:T65" si="0">P2*Q2</f>
        <v>5008</v>
      </c>
      <c r="U2" s="15">
        <f t="shared" ref="U2:U65" si="1">P2*R2</f>
        <v>9180</v>
      </c>
    </row>
    <row r="3" spans="1:21" x14ac:dyDescent="0.25">
      <c r="A3" t="s">
        <v>165</v>
      </c>
      <c r="B3" s="16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166</v>
      </c>
      <c r="I3" t="s">
        <v>29</v>
      </c>
      <c r="J3" t="s">
        <v>30</v>
      </c>
      <c r="K3" t="s">
        <v>25</v>
      </c>
      <c r="L3" t="s">
        <v>26</v>
      </c>
      <c r="M3" t="s">
        <v>163</v>
      </c>
      <c r="N3" t="s">
        <v>167</v>
      </c>
      <c r="O3">
        <v>42</v>
      </c>
      <c r="P3">
        <v>1</v>
      </c>
      <c r="Q3" s="15">
        <v>1266</v>
      </c>
      <c r="R3" s="15">
        <v>2320</v>
      </c>
      <c r="S3" s="15">
        <v>1054</v>
      </c>
      <c r="T3" s="15">
        <f t="shared" si="0"/>
        <v>1266</v>
      </c>
      <c r="U3" s="15">
        <f t="shared" si="1"/>
        <v>2320</v>
      </c>
    </row>
    <row r="4" spans="1:21" x14ac:dyDescent="0.25">
      <c r="A4" t="s">
        <v>32</v>
      </c>
      <c r="B4" s="16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166</v>
      </c>
      <c r="I4" t="s">
        <v>23</v>
      </c>
      <c r="J4" t="s">
        <v>24</v>
      </c>
      <c r="K4" t="s">
        <v>25</v>
      </c>
      <c r="L4" t="s">
        <v>26</v>
      </c>
      <c r="M4" t="s">
        <v>168</v>
      </c>
      <c r="N4" t="s">
        <v>167</v>
      </c>
      <c r="O4">
        <v>46</v>
      </c>
      <c r="P4">
        <v>2</v>
      </c>
      <c r="Q4" s="15">
        <v>420</v>
      </c>
      <c r="R4" s="15">
        <v>769</v>
      </c>
      <c r="S4" s="15">
        <v>698</v>
      </c>
      <c r="T4" s="15">
        <f t="shared" si="0"/>
        <v>840</v>
      </c>
      <c r="U4" s="15">
        <f t="shared" si="1"/>
        <v>1538</v>
      </c>
    </row>
    <row r="5" spans="1:21" x14ac:dyDescent="0.25">
      <c r="A5" t="s">
        <v>35</v>
      </c>
      <c r="B5" s="16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162</v>
      </c>
      <c r="I5" t="s">
        <v>37</v>
      </c>
      <c r="J5" t="s">
        <v>38</v>
      </c>
      <c r="K5" t="s">
        <v>25</v>
      </c>
      <c r="L5" t="s">
        <v>26</v>
      </c>
      <c r="M5" t="s">
        <v>168</v>
      </c>
      <c r="N5" t="s">
        <v>167</v>
      </c>
      <c r="O5">
        <v>42</v>
      </c>
      <c r="P5">
        <v>1</v>
      </c>
      <c r="Q5" s="15">
        <v>420</v>
      </c>
      <c r="R5" s="15">
        <v>769</v>
      </c>
      <c r="S5" s="15">
        <v>349</v>
      </c>
      <c r="T5" s="15">
        <f t="shared" si="0"/>
        <v>420</v>
      </c>
      <c r="U5" s="15">
        <f t="shared" si="1"/>
        <v>769</v>
      </c>
    </row>
    <row r="6" spans="1:21" x14ac:dyDescent="0.25">
      <c r="A6" t="s">
        <v>40</v>
      </c>
      <c r="B6" s="16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162</v>
      </c>
      <c r="I6" t="s">
        <v>23</v>
      </c>
      <c r="J6" t="s">
        <v>24</v>
      </c>
      <c r="K6" t="s">
        <v>25</v>
      </c>
      <c r="L6" t="s">
        <v>26</v>
      </c>
      <c r="M6" t="s">
        <v>163</v>
      </c>
      <c r="N6" t="s">
        <v>164</v>
      </c>
      <c r="O6">
        <v>46</v>
      </c>
      <c r="P6">
        <v>2</v>
      </c>
      <c r="Q6" s="15">
        <v>1252</v>
      </c>
      <c r="R6" s="15">
        <v>2295</v>
      </c>
      <c r="S6" s="15">
        <v>2086</v>
      </c>
      <c r="T6" s="15">
        <f t="shared" si="0"/>
        <v>2504</v>
      </c>
      <c r="U6" s="15">
        <f t="shared" si="1"/>
        <v>4590</v>
      </c>
    </row>
    <row r="7" spans="1:21" x14ac:dyDescent="0.25">
      <c r="A7" t="s">
        <v>42</v>
      </c>
      <c r="B7" s="16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162</v>
      </c>
      <c r="I7" t="s">
        <v>29</v>
      </c>
      <c r="J7" t="s">
        <v>30</v>
      </c>
      <c r="K7" t="s">
        <v>25</v>
      </c>
      <c r="L7" t="s">
        <v>26</v>
      </c>
      <c r="M7" t="s">
        <v>163</v>
      </c>
      <c r="N7" t="s">
        <v>164</v>
      </c>
      <c r="O7">
        <v>38</v>
      </c>
      <c r="P7">
        <v>1</v>
      </c>
      <c r="Q7" s="15">
        <v>1252</v>
      </c>
      <c r="R7" s="15">
        <v>2295</v>
      </c>
      <c r="S7" s="15">
        <v>1043</v>
      </c>
      <c r="T7" s="15">
        <f t="shared" si="0"/>
        <v>1252</v>
      </c>
      <c r="U7" s="15">
        <f t="shared" si="1"/>
        <v>2295</v>
      </c>
    </row>
    <row r="8" spans="1:21" s="9" customFormat="1" x14ac:dyDescent="0.25">
      <c r="A8" t="s">
        <v>45</v>
      </c>
      <c r="B8" s="16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166</v>
      </c>
      <c r="I8" t="s">
        <v>23</v>
      </c>
      <c r="J8" t="s">
        <v>47</v>
      </c>
      <c r="K8" t="s">
        <v>25</v>
      </c>
      <c r="L8" t="s">
        <v>26</v>
      </c>
      <c r="M8" t="s">
        <v>163</v>
      </c>
      <c r="N8" t="s">
        <v>164</v>
      </c>
      <c r="O8">
        <v>46</v>
      </c>
      <c r="P8">
        <v>1</v>
      </c>
      <c r="Q8" s="15">
        <v>1252</v>
      </c>
      <c r="R8" s="15">
        <v>2295</v>
      </c>
      <c r="S8" s="15">
        <v>1043</v>
      </c>
      <c r="T8" s="15">
        <f t="shared" si="0"/>
        <v>1252</v>
      </c>
      <c r="U8" s="15">
        <f t="shared" si="1"/>
        <v>2295</v>
      </c>
    </row>
    <row r="9" spans="1:21" x14ac:dyDescent="0.25">
      <c r="A9" t="s">
        <v>48</v>
      </c>
      <c r="B9" s="16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162</v>
      </c>
      <c r="I9" t="s">
        <v>37</v>
      </c>
      <c r="J9" t="s">
        <v>38</v>
      </c>
      <c r="K9" t="s">
        <v>25</v>
      </c>
      <c r="L9" t="s">
        <v>26</v>
      </c>
      <c r="M9" t="s">
        <v>168</v>
      </c>
      <c r="N9" t="s">
        <v>167</v>
      </c>
      <c r="O9">
        <v>42</v>
      </c>
      <c r="P9">
        <v>4</v>
      </c>
      <c r="Q9" s="15">
        <v>420</v>
      </c>
      <c r="R9" s="15">
        <v>769</v>
      </c>
      <c r="S9" s="15">
        <v>1396</v>
      </c>
      <c r="T9" s="15">
        <f t="shared" si="0"/>
        <v>1680</v>
      </c>
      <c r="U9" s="15">
        <f t="shared" si="1"/>
        <v>3076</v>
      </c>
    </row>
    <row r="10" spans="1:21" x14ac:dyDescent="0.25">
      <c r="A10" t="s">
        <v>49</v>
      </c>
      <c r="B10" s="16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162</v>
      </c>
      <c r="I10" t="s">
        <v>23</v>
      </c>
      <c r="J10" t="s">
        <v>24</v>
      </c>
      <c r="K10" t="s">
        <v>25</v>
      </c>
      <c r="L10" t="s">
        <v>26</v>
      </c>
      <c r="M10" t="s">
        <v>163</v>
      </c>
      <c r="N10" t="s">
        <v>164</v>
      </c>
      <c r="O10">
        <v>46</v>
      </c>
      <c r="P10">
        <v>4</v>
      </c>
      <c r="Q10" s="15">
        <v>1252</v>
      </c>
      <c r="R10" s="15">
        <v>2295</v>
      </c>
      <c r="S10" s="15">
        <v>4172</v>
      </c>
      <c r="T10" s="15">
        <f t="shared" si="0"/>
        <v>5008</v>
      </c>
      <c r="U10" s="15">
        <f t="shared" si="1"/>
        <v>9180</v>
      </c>
    </row>
    <row r="11" spans="1:21" x14ac:dyDescent="0.25">
      <c r="A11" t="s">
        <v>50</v>
      </c>
      <c r="B11" s="16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166</v>
      </c>
      <c r="I11" t="s">
        <v>51</v>
      </c>
      <c r="J11" t="s">
        <v>52</v>
      </c>
      <c r="K11" t="s">
        <v>25</v>
      </c>
      <c r="L11" t="s">
        <v>26</v>
      </c>
      <c r="M11" t="s">
        <v>163</v>
      </c>
      <c r="N11" t="s">
        <v>164</v>
      </c>
      <c r="O11">
        <v>38</v>
      </c>
      <c r="P11">
        <v>4</v>
      </c>
      <c r="Q11" s="15">
        <v>1252</v>
      </c>
      <c r="R11" s="15">
        <v>2295</v>
      </c>
      <c r="S11" s="15">
        <v>4172</v>
      </c>
      <c r="T11" s="15">
        <f t="shared" si="0"/>
        <v>5008</v>
      </c>
      <c r="U11" s="15">
        <f t="shared" si="1"/>
        <v>9180</v>
      </c>
    </row>
    <row r="12" spans="1:21" x14ac:dyDescent="0.25">
      <c r="A12" t="s">
        <v>53</v>
      </c>
      <c r="B12" s="16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162</v>
      </c>
      <c r="I12" t="s">
        <v>37</v>
      </c>
      <c r="J12" t="s">
        <v>54</v>
      </c>
      <c r="K12" t="s">
        <v>25</v>
      </c>
      <c r="L12" t="s">
        <v>26</v>
      </c>
      <c r="M12" t="s">
        <v>163</v>
      </c>
      <c r="N12" t="s">
        <v>167</v>
      </c>
      <c r="O12">
        <v>38</v>
      </c>
      <c r="P12">
        <v>1</v>
      </c>
      <c r="Q12" s="15">
        <v>1266</v>
      </c>
      <c r="R12" s="15">
        <v>2320</v>
      </c>
      <c r="S12" s="15">
        <v>1054</v>
      </c>
      <c r="T12" s="15">
        <f t="shared" si="0"/>
        <v>1266</v>
      </c>
      <c r="U12" s="15">
        <f t="shared" si="1"/>
        <v>2320</v>
      </c>
    </row>
    <row r="13" spans="1:21" x14ac:dyDescent="0.25">
      <c r="A13" t="s">
        <v>56</v>
      </c>
      <c r="B13" s="16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162</v>
      </c>
      <c r="I13" t="s">
        <v>23</v>
      </c>
      <c r="J13" t="s">
        <v>24</v>
      </c>
      <c r="K13" t="s">
        <v>25</v>
      </c>
      <c r="L13" t="s">
        <v>26</v>
      </c>
      <c r="M13" t="s">
        <v>163</v>
      </c>
      <c r="N13" t="s">
        <v>164</v>
      </c>
      <c r="O13">
        <v>46</v>
      </c>
      <c r="P13">
        <v>1</v>
      </c>
      <c r="Q13" s="15">
        <v>1252</v>
      </c>
      <c r="R13" s="15">
        <v>2295</v>
      </c>
      <c r="S13" s="15">
        <v>1043</v>
      </c>
      <c r="T13" s="15">
        <f t="shared" si="0"/>
        <v>1252</v>
      </c>
      <c r="U13" s="15">
        <f t="shared" si="1"/>
        <v>2295</v>
      </c>
    </row>
    <row r="14" spans="1:21" x14ac:dyDescent="0.25">
      <c r="A14" t="s">
        <v>57</v>
      </c>
      <c r="B14" s="16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166</v>
      </c>
      <c r="I14" t="s">
        <v>29</v>
      </c>
      <c r="J14" t="s">
        <v>30</v>
      </c>
      <c r="K14" t="s">
        <v>25</v>
      </c>
      <c r="L14" t="s">
        <v>26</v>
      </c>
      <c r="M14" t="s">
        <v>168</v>
      </c>
      <c r="N14" t="s">
        <v>167</v>
      </c>
      <c r="O14">
        <v>46</v>
      </c>
      <c r="P14">
        <v>3</v>
      </c>
      <c r="Q14" s="15">
        <v>420</v>
      </c>
      <c r="R14" s="15">
        <v>769</v>
      </c>
      <c r="S14" s="15">
        <v>1047</v>
      </c>
      <c r="T14" s="15">
        <f t="shared" si="0"/>
        <v>1260</v>
      </c>
      <c r="U14" s="15">
        <f t="shared" si="1"/>
        <v>2307</v>
      </c>
    </row>
    <row r="15" spans="1:21" x14ac:dyDescent="0.25">
      <c r="A15" t="s">
        <v>58</v>
      </c>
      <c r="B15" s="16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166</v>
      </c>
      <c r="I15" t="s">
        <v>59</v>
      </c>
      <c r="J15" t="s">
        <v>60</v>
      </c>
      <c r="K15" t="s">
        <v>25</v>
      </c>
      <c r="L15" t="s">
        <v>26</v>
      </c>
      <c r="M15" t="s">
        <v>163</v>
      </c>
      <c r="N15" t="s">
        <v>164</v>
      </c>
      <c r="O15">
        <v>46</v>
      </c>
      <c r="P15">
        <v>1</v>
      </c>
      <c r="Q15" s="15">
        <v>1252</v>
      </c>
      <c r="R15" s="15">
        <v>2295</v>
      </c>
      <c r="S15" s="15">
        <v>1043</v>
      </c>
      <c r="T15" s="15">
        <f t="shared" si="0"/>
        <v>1252</v>
      </c>
      <c r="U15" s="15">
        <f t="shared" si="1"/>
        <v>2295</v>
      </c>
    </row>
    <row r="16" spans="1:21" x14ac:dyDescent="0.25">
      <c r="A16" t="s">
        <v>61</v>
      </c>
      <c r="B16" s="16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166</v>
      </c>
      <c r="I16" t="s">
        <v>37</v>
      </c>
      <c r="J16" t="s">
        <v>38</v>
      </c>
      <c r="K16" t="s">
        <v>25</v>
      </c>
      <c r="L16" t="s">
        <v>26</v>
      </c>
      <c r="M16" t="s">
        <v>163</v>
      </c>
      <c r="N16" t="s">
        <v>164</v>
      </c>
      <c r="O16">
        <v>42</v>
      </c>
      <c r="P16">
        <v>1</v>
      </c>
      <c r="Q16" s="15">
        <v>1252</v>
      </c>
      <c r="R16" s="15">
        <v>2295</v>
      </c>
      <c r="S16" s="15">
        <v>1043</v>
      </c>
      <c r="T16" s="15">
        <f t="shared" si="0"/>
        <v>1252</v>
      </c>
      <c r="U16" s="15">
        <f t="shared" si="1"/>
        <v>2295</v>
      </c>
    </row>
    <row r="17" spans="1:21" x14ac:dyDescent="0.25">
      <c r="A17" t="s">
        <v>63</v>
      </c>
      <c r="B17" s="16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166</v>
      </c>
      <c r="I17" t="s">
        <v>29</v>
      </c>
      <c r="J17" t="s">
        <v>30</v>
      </c>
      <c r="K17" t="s">
        <v>25</v>
      </c>
      <c r="L17" t="s">
        <v>26</v>
      </c>
      <c r="M17" t="s">
        <v>163</v>
      </c>
      <c r="N17" t="s">
        <v>167</v>
      </c>
      <c r="O17">
        <v>38</v>
      </c>
      <c r="P17">
        <v>1</v>
      </c>
      <c r="Q17" s="15">
        <v>1266</v>
      </c>
      <c r="R17" s="15">
        <v>2320</v>
      </c>
      <c r="S17" s="15">
        <v>1054</v>
      </c>
      <c r="T17" s="15">
        <f t="shared" si="0"/>
        <v>1266</v>
      </c>
      <c r="U17" s="15">
        <f t="shared" si="1"/>
        <v>2320</v>
      </c>
    </row>
    <row r="18" spans="1:21" x14ac:dyDescent="0.25">
      <c r="A18" t="s">
        <v>64</v>
      </c>
      <c r="B18" s="16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166</v>
      </c>
      <c r="I18" t="s">
        <v>23</v>
      </c>
      <c r="J18" t="s">
        <v>24</v>
      </c>
      <c r="K18" t="s">
        <v>25</v>
      </c>
      <c r="L18" t="s">
        <v>26</v>
      </c>
      <c r="M18" t="s">
        <v>168</v>
      </c>
      <c r="N18" t="s">
        <v>167</v>
      </c>
      <c r="O18">
        <v>38</v>
      </c>
      <c r="P18">
        <v>4</v>
      </c>
      <c r="Q18" s="15">
        <v>420</v>
      </c>
      <c r="R18" s="15">
        <v>769</v>
      </c>
      <c r="S18" s="15">
        <v>1396</v>
      </c>
      <c r="T18" s="15">
        <f t="shared" si="0"/>
        <v>1680</v>
      </c>
      <c r="U18" s="15">
        <f t="shared" si="1"/>
        <v>3076</v>
      </c>
    </row>
    <row r="19" spans="1:21" x14ac:dyDescent="0.25">
      <c r="A19" t="s">
        <v>67</v>
      </c>
      <c r="B19" s="16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166</v>
      </c>
      <c r="I19" t="s">
        <v>23</v>
      </c>
      <c r="J19" t="s">
        <v>24</v>
      </c>
      <c r="K19" t="s">
        <v>25</v>
      </c>
      <c r="L19" t="s">
        <v>26</v>
      </c>
      <c r="M19" t="s">
        <v>163</v>
      </c>
      <c r="N19" t="s">
        <v>167</v>
      </c>
      <c r="O19">
        <v>42</v>
      </c>
      <c r="P19">
        <v>2</v>
      </c>
      <c r="Q19" s="15">
        <v>1266</v>
      </c>
      <c r="R19" s="15">
        <v>2320</v>
      </c>
      <c r="S19" s="15">
        <v>2108</v>
      </c>
      <c r="T19" s="15">
        <f t="shared" si="0"/>
        <v>2532</v>
      </c>
      <c r="U19" s="15">
        <f t="shared" si="1"/>
        <v>4640</v>
      </c>
    </row>
    <row r="20" spans="1:21" x14ac:dyDescent="0.25">
      <c r="A20" t="s">
        <v>68</v>
      </c>
      <c r="B20" s="16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162</v>
      </c>
      <c r="I20" t="s">
        <v>37</v>
      </c>
      <c r="J20" t="s">
        <v>38</v>
      </c>
      <c r="K20" t="s">
        <v>25</v>
      </c>
      <c r="L20" t="s">
        <v>26</v>
      </c>
      <c r="M20" t="s">
        <v>169</v>
      </c>
      <c r="N20" t="s">
        <v>167</v>
      </c>
      <c r="O20">
        <v>42</v>
      </c>
      <c r="P20">
        <v>4</v>
      </c>
      <c r="Q20" s="15">
        <v>308</v>
      </c>
      <c r="R20" s="15">
        <v>565</v>
      </c>
      <c r="S20" s="15">
        <v>1028</v>
      </c>
      <c r="T20" s="15">
        <f t="shared" si="0"/>
        <v>1232</v>
      </c>
      <c r="U20" s="15">
        <f t="shared" si="1"/>
        <v>2260</v>
      </c>
    </row>
    <row r="21" spans="1:21" x14ac:dyDescent="0.25">
      <c r="A21" t="s">
        <v>70</v>
      </c>
      <c r="B21" s="16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162</v>
      </c>
      <c r="I21" t="s">
        <v>59</v>
      </c>
      <c r="J21" t="s">
        <v>60</v>
      </c>
      <c r="K21" t="s">
        <v>25</v>
      </c>
      <c r="L21" t="s">
        <v>26</v>
      </c>
      <c r="M21" t="s">
        <v>163</v>
      </c>
      <c r="N21" t="s">
        <v>167</v>
      </c>
      <c r="O21">
        <v>38</v>
      </c>
      <c r="P21">
        <v>4</v>
      </c>
      <c r="Q21" s="15">
        <v>1266</v>
      </c>
      <c r="R21" s="15">
        <v>2320</v>
      </c>
      <c r="S21" s="15">
        <v>4216</v>
      </c>
      <c r="T21" s="15">
        <f t="shared" si="0"/>
        <v>5064</v>
      </c>
      <c r="U21" s="15">
        <f t="shared" si="1"/>
        <v>9280</v>
      </c>
    </row>
    <row r="22" spans="1:21" x14ac:dyDescent="0.25">
      <c r="A22" t="s">
        <v>71</v>
      </c>
      <c r="B22" s="16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162</v>
      </c>
      <c r="I22" t="s">
        <v>23</v>
      </c>
      <c r="J22" t="s">
        <v>72</v>
      </c>
      <c r="K22" t="s">
        <v>25</v>
      </c>
      <c r="L22" t="s">
        <v>26</v>
      </c>
      <c r="M22" t="s">
        <v>163</v>
      </c>
      <c r="N22" t="s">
        <v>164</v>
      </c>
      <c r="O22">
        <v>42</v>
      </c>
      <c r="P22">
        <v>2</v>
      </c>
      <c r="Q22" s="15">
        <v>1252</v>
      </c>
      <c r="R22" s="15">
        <v>2295</v>
      </c>
      <c r="S22" s="15">
        <v>2086</v>
      </c>
      <c r="T22" s="15">
        <f t="shared" si="0"/>
        <v>2504</v>
      </c>
      <c r="U22" s="15">
        <f t="shared" si="1"/>
        <v>4590</v>
      </c>
    </row>
    <row r="23" spans="1:21" x14ac:dyDescent="0.25">
      <c r="A23" t="s">
        <v>73</v>
      </c>
      <c r="B23" s="16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162</v>
      </c>
      <c r="I23" t="s">
        <v>23</v>
      </c>
      <c r="J23" t="s">
        <v>24</v>
      </c>
      <c r="K23" t="s">
        <v>25</v>
      </c>
      <c r="L23" t="s">
        <v>26</v>
      </c>
      <c r="M23" t="s">
        <v>169</v>
      </c>
      <c r="N23" t="s">
        <v>164</v>
      </c>
      <c r="O23">
        <v>42</v>
      </c>
      <c r="P23">
        <v>4</v>
      </c>
      <c r="Q23" s="15">
        <v>295</v>
      </c>
      <c r="R23" s="15">
        <v>540</v>
      </c>
      <c r="S23" s="15">
        <v>245</v>
      </c>
      <c r="T23" s="15">
        <f t="shared" si="0"/>
        <v>1180</v>
      </c>
      <c r="U23" s="15">
        <f t="shared" si="1"/>
        <v>2160</v>
      </c>
    </row>
    <row r="24" spans="1:21" x14ac:dyDescent="0.25">
      <c r="A24" t="s">
        <v>75</v>
      </c>
      <c r="B24" s="16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162</v>
      </c>
      <c r="I24" t="s">
        <v>37</v>
      </c>
      <c r="J24" t="s">
        <v>76</v>
      </c>
      <c r="K24" t="s">
        <v>25</v>
      </c>
      <c r="L24" t="s">
        <v>26</v>
      </c>
      <c r="M24" t="s">
        <v>170</v>
      </c>
      <c r="N24" t="s">
        <v>164</v>
      </c>
      <c r="O24">
        <v>38</v>
      </c>
      <c r="P24">
        <v>2</v>
      </c>
      <c r="Q24" s="15">
        <v>1898</v>
      </c>
      <c r="R24" s="15">
        <v>3375</v>
      </c>
      <c r="S24" s="15">
        <v>2954</v>
      </c>
      <c r="T24" s="15">
        <f t="shared" si="0"/>
        <v>3796</v>
      </c>
      <c r="U24" s="15">
        <f t="shared" si="1"/>
        <v>6750</v>
      </c>
    </row>
    <row r="25" spans="1:21" x14ac:dyDescent="0.25">
      <c r="A25" t="s">
        <v>78</v>
      </c>
      <c r="B25" s="16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162</v>
      </c>
      <c r="I25" t="s">
        <v>51</v>
      </c>
      <c r="J25" t="s">
        <v>79</v>
      </c>
      <c r="K25" t="s">
        <v>25</v>
      </c>
      <c r="L25" t="s">
        <v>26</v>
      </c>
      <c r="M25" t="s">
        <v>163</v>
      </c>
      <c r="N25" t="s">
        <v>167</v>
      </c>
      <c r="O25">
        <v>42</v>
      </c>
      <c r="P25">
        <v>1</v>
      </c>
      <c r="Q25" s="15">
        <v>1266</v>
      </c>
      <c r="R25" s="15">
        <v>2320</v>
      </c>
      <c r="S25" s="15">
        <v>1054</v>
      </c>
      <c r="T25" s="15">
        <f t="shared" si="0"/>
        <v>1266</v>
      </c>
      <c r="U25" s="15">
        <f t="shared" si="1"/>
        <v>2320</v>
      </c>
    </row>
    <row r="26" spans="1:21" x14ac:dyDescent="0.25">
      <c r="A26" t="s">
        <v>80</v>
      </c>
      <c r="B26" s="16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162</v>
      </c>
      <c r="I26" t="s">
        <v>23</v>
      </c>
      <c r="J26" t="s">
        <v>24</v>
      </c>
      <c r="K26" t="s">
        <v>25</v>
      </c>
      <c r="L26" t="s">
        <v>26</v>
      </c>
      <c r="M26" t="s">
        <v>163</v>
      </c>
      <c r="N26" t="s">
        <v>164</v>
      </c>
      <c r="O26">
        <v>42</v>
      </c>
      <c r="P26">
        <v>2</v>
      </c>
      <c r="Q26" s="15">
        <v>1252</v>
      </c>
      <c r="R26" s="15">
        <v>2295</v>
      </c>
      <c r="S26" s="15">
        <v>2086</v>
      </c>
      <c r="T26" s="15">
        <f t="shared" si="0"/>
        <v>2504</v>
      </c>
      <c r="U26" s="15">
        <f t="shared" si="1"/>
        <v>4590</v>
      </c>
    </row>
    <row r="27" spans="1:21" x14ac:dyDescent="0.25">
      <c r="A27" t="s">
        <v>81</v>
      </c>
      <c r="B27" s="16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166</v>
      </c>
      <c r="I27" t="s">
        <v>37</v>
      </c>
      <c r="J27" t="s">
        <v>38</v>
      </c>
      <c r="K27" t="s">
        <v>25</v>
      </c>
      <c r="L27" t="s">
        <v>26</v>
      </c>
      <c r="M27" t="s">
        <v>163</v>
      </c>
      <c r="N27" t="s">
        <v>164</v>
      </c>
      <c r="O27">
        <v>42</v>
      </c>
      <c r="P27">
        <v>2</v>
      </c>
      <c r="Q27" s="15">
        <v>1252</v>
      </c>
      <c r="R27" s="15">
        <v>2295</v>
      </c>
      <c r="S27" s="15">
        <v>2086</v>
      </c>
      <c r="T27" s="15">
        <f t="shared" si="0"/>
        <v>2504</v>
      </c>
      <c r="U27" s="15">
        <f t="shared" si="1"/>
        <v>4590</v>
      </c>
    </row>
    <row r="28" spans="1:21" x14ac:dyDescent="0.25">
      <c r="A28" t="s">
        <v>82</v>
      </c>
      <c r="B28" s="16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166</v>
      </c>
      <c r="I28" t="s">
        <v>29</v>
      </c>
      <c r="J28" t="s">
        <v>30</v>
      </c>
      <c r="K28" t="s">
        <v>25</v>
      </c>
      <c r="L28" t="s">
        <v>26</v>
      </c>
      <c r="M28" t="s">
        <v>163</v>
      </c>
      <c r="N28" t="s">
        <v>164</v>
      </c>
      <c r="O28">
        <v>38</v>
      </c>
      <c r="P28">
        <v>1</v>
      </c>
      <c r="Q28" s="15">
        <v>1252</v>
      </c>
      <c r="R28" s="15">
        <v>2295</v>
      </c>
      <c r="S28" s="15">
        <v>1043</v>
      </c>
      <c r="T28" s="15">
        <f t="shared" si="0"/>
        <v>1252</v>
      </c>
      <c r="U28" s="15">
        <f t="shared" si="1"/>
        <v>2295</v>
      </c>
    </row>
    <row r="29" spans="1:21" x14ac:dyDescent="0.25">
      <c r="A29" t="s">
        <v>83</v>
      </c>
      <c r="B29" s="16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166</v>
      </c>
      <c r="I29" t="s">
        <v>23</v>
      </c>
      <c r="J29" t="s">
        <v>24</v>
      </c>
      <c r="K29" t="s">
        <v>25</v>
      </c>
      <c r="L29" t="s">
        <v>26</v>
      </c>
      <c r="M29" t="s">
        <v>169</v>
      </c>
      <c r="N29" t="s">
        <v>164</v>
      </c>
      <c r="O29">
        <v>40</v>
      </c>
      <c r="P29">
        <v>1</v>
      </c>
      <c r="Q29" s="15">
        <v>295</v>
      </c>
      <c r="R29" s="15">
        <v>540</v>
      </c>
      <c r="S29" s="15">
        <v>245</v>
      </c>
      <c r="T29" s="15">
        <f t="shared" si="0"/>
        <v>295</v>
      </c>
      <c r="U29" s="15">
        <f t="shared" si="1"/>
        <v>540</v>
      </c>
    </row>
    <row r="30" spans="1:21" x14ac:dyDescent="0.25">
      <c r="A30" t="s">
        <v>85</v>
      </c>
      <c r="B30" s="16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162</v>
      </c>
      <c r="I30" t="s">
        <v>23</v>
      </c>
      <c r="J30" t="s">
        <v>47</v>
      </c>
      <c r="K30" t="s">
        <v>25</v>
      </c>
      <c r="L30" t="s">
        <v>26</v>
      </c>
      <c r="M30" t="s">
        <v>170</v>
      </c>
      <c r="N30" t="s">
        <v>167</v>
      </c>
      <c r="O30">
        <v>44</v>
      </c>
      <c r="P30">
        <v>1</v>
      </c>
      <c r="Q30" s="15">
        <v>1912</v>
      </c>
      <c r="R30" s="15">
        <v>3400</v>
      </c>
      <c r="S30" s="15">
        <v>1488</v>
      </c>
      <c r="T30" s="15">
        <f t="shared" si="0"/>
        <v>1912</v>
      </c>
      <c r="U30" s="15">
        <f t="shared" si="1"/>
        <v>3400</v>
      </c>
    </row>
    <row r="31" spans="1:21" x14ac:dyDescent="0.25">
      <c r="A31" t="s">
        <v>87</v>
      </c>
      <c r="B31" s="16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166</v>
      </c>
      <c r="I31" t="s">
        <v>37</v>
      </c>
      <c r="J31" t="s">
        <v>38</v>
      </c>
      <c r="K31" t="s">
        <v>25</v>
      </c>
      <c r="L31" t="s">
        <v>26</v>
      </c>
      <c r="M31" t="s">
        <v>163</v>
      </c>
      <c r="N31" t="s">
        <v>164</v>
      </c>
      <c r="O31">
        <v>38</v>
      </c>
      <c r="P31">
        <v>1</v>
      </c>
      <c r="Q31" s="15">
        <v>1252</v>
      </c>
      <c r="R31" s="15">
        <v>2295</v>
      </c>
      <c r="S31" s="15">
        <v>1043</v>
      </c>
      <c r="T31" s="15">
        <f t="shared" si="0"/>
        <v>1252</v>
      </c>
      <c r="U31" s="15">
        <f t="shared" si="1"/>
        <v>2295</v>
      </c>
    </row>
    <row r="32" spans="1:21" x14ac:dyDescent="0.25">
      <c r="A32" t="s">
        <v>88</v>
      </c>
      <c r="B32" s="16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162</v>
      </c>
      <c r="I32" t="s">
        <v>89</v>
      </c>
      <c r="J32" t="s">
        <v>90</v>
      </c>
      <c r="K32" t="s">
        <v>25</v>
      </c>
      <c r="L32" t="s">
        <v>26</v>
      </c>
      <c r="M32" t="s">
        <v>163</v>
      </c>
      <c r="N32" t="s">
        <v>164</v>
      </c>
      <c r="O32">
        <v>38</v>
      </c>
      <c r="P32">
        <v>3</v>
      </c>
      <c r="Q32" s="15">
        <v>1252</v>
      </c>
      <c r="R32" s="15">
        <v>2295</v>
      </c>
      <c r="S32" s="15">
        <v>3129</v>
      </c>
      <c r="T32" s="15">
        <f t="shared" si="0"/>
        <v>3756</v>
      </c>
      <c r="U32" s="15">
        <f t="shared" si="1"/>
        <v>6885</v>
      </c>
    </row>
    <row r="33" spans="1:21" x14ac:dyDescent="0.25">
      <c r="A33" t="s">
        <v>91</v>
      </c>
      <c r="B33" s="16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162</v>
      </c>
      <c r="I33" t="s">
        <v>37</v>
      </c>
      <c r="J33" t="s">
        <v>38</v>
      </c>
      <c r="K33" t="s">
        <v>25</v>
      </c>
      <c r="L33" t="s">
        <v>26</v>
      </c>
      <c r="M33" t="s">
        <v>168</v>
      </c>
      <c r="N33" t="s">
        <v>167</v>
      </c>
      <c r="O33">
        <v>38</v>
      </c>
      <c r="P33">
        <v>2</v>
      </c>
      <c r="Q33" s="15">
        <v>420</v>
      </c>
      <c r="R33" s="15">
        <v>769</v>
      </c>
      <c r="S33" s="15">
        <v>698</v>
      </c>
      <c r="T33" s="15">
        <f t="shared" si="0"/>
        <v>840</v>
      </c>
      <c r="U33" s="15">
        <f t="shared" si="1"/>
        <v>1538</v>
      </c>
    </row>
    <row r="34" spans="1:21" x14ac:dyDescent="0.25">
      <c r="A34" t="s">
        <v>92</v>
      </c>
      <c r="B34" s="16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166</v>
      </c>
      <c r="I34" t="s">
        <v>59</v>
      </c>
      <c r="J34" t="s">
        <v>60</v>
      </c>
      <c r="K34" t="s">
        <v>25</v>
      </c>
      <c r="L34" t="s">
        <v>26</v>
      </c>
      <c r="M34" t="s">
        <v>163</v>
      </c>
      <c r="N34" t="s">
        <v>164</v>
      </c>
      <c r="O34">
        <v>46</v>
      </c>
      <c r="P34">
        <v>1</v>
      </c>
      <c r="Q34" s="15">
        <v>1252</v>
      </c>
      <c r="R34" s="15">
        <v>2295</v>
      </c>
      <c r="S34" s="15">
        <v>1043</v>
      </c>
      <c r="T34" s="15">
        <f t="shared" si="0"/>
        <v>1252</v>
      </c>
      <c r="U34" s="15">
        <f t="shared" si="1"/>
        <v>2295</v>
      </c>
    </row>
    <row r="35" spans="1:21" x14ac:dyDescent="0.25">
      <c r="A35" t="s">
        <v>93</v>
      </c>
      <c r="B35" s="16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166</v>
      </c>
      <c r="I35" t="s">
        <v>23</v>
      </c>
      <c r="J35" t="s">
        <v>24</v>
      </c>
      <c r="K35" t="s">
        <v>25</v>
      </c>
      <c r="L35" t="s">
        <v>26</v>
      </c>
      <c r="M35" t="s">
        <v>168</v>
      </c>
      <c r="N35" t="s">
        <v>167</v>
      </c>
      <c r="O35">
        <v>46</v>
      </c>
      <c r="P35">
        <v>1</v>
      </c>
      <c r="Q35" s="15">
        <v>420</v>
      </c>
      <c r="R35" s="15">
        <v>769</v>
      </c>
      <c r="S35" s="15">
        <v>349</v>
      </c>
      <c r="T35" s="15">
        <f t="shared" si="0"/>
        <v>420</v>
      </c>
      <c r="U35" s="15">
        <f t="shared" si="1"/>
        <v>769</v>
      </c>
    </row>
    <row r="36" spans="1:21" x14ac:dyDescent="0.25">
      <c r="A36" t="s">
        <v>94</v>
      </c>
      <c r="B36" s="16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162</v>
      </c>
      <c r="I36" t="s">
        <v>23</v>
      </c>
      <c r="J36" t="s">
        <v>24</v>
      </c>
      <c r="K36" t="s">
        <v>25</v>
      </c>
      <c r="L36" t="s">
        <v>26</v>
      </c>
      <c r="M36" t="s">
        <v>163</v>
      </c>
      <c r="N36" t="s">
        <v>167</v>
      </c>
      <c r="O36">
        <v>38</v>
      </c>
      <c r="P36">
        <v>1</v>
      </c>
      <c r="Q36" s="15">
        <v>1266</v>
      </c>
      <c r="R36" s="15">
        <v>2320</v>
      </c>
      <c r="S36" s="15">
        <v>1054</v>
      </c>
      <c r="T36" s="15">
        <f t="shared" si="0"/>
        <v>1266</v>
      </c>
      <c r="U36" s="15">
        <f t="shared" si="1"/>
        <v>2320</v>
      </c>
    </row>
    <row r="37" spans="1:21" x14ac:dyDescent="0.25">
      <c r="A37" t="s">
        <v>95</v>
      </c>
      <c r="B37" s="16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162</v>
      </c>
      <c r="I37" t="s">
        <v>37</v>
      </c>
      <c r="J37" t="s">
        <v>38</v>
      </c>
      <c r="K37" t="s">
        <v>25</v>
      </c>
      <c r="L37" t="s">
        <v>26</v>
      </c>
      <c r="M37" t="s">
        <v>163</v>
      </c>
      <c r="N37" t="s">
        <v>167</v>
      </c>
      <c r="O37">
        <v>42</v>
      </c>
      <c r="P37">
        <v>4</v>
      </c>
      <c r="Q37" s="15">
        <v>1266</v>
      </c>
      <c r="R37" s="15">
        <v>2320</v>
      </c>
      <c r="S37" s="15">
        <v>4216</v>
      </c>
      <c r="T37" s="15">
        <f t="shared" si="0"/>
        <v>5064</v>
      </c>
      <c r="U37" s="15">
        <f t="shared" si="1"/>
        <v>9280</v>
      </c>
    </row>
    <row r="38" spans="1:21" x14ac:dyDescent="0.25">
      <c r="A38" t="s">
        <v>96</v>
      </c>
      <c r="B38" s="16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166</v>
      </c>
      <c r="I38" t="s">
        <v>23</v>
      </c>
      <c r="J38" t="s">
        <v>24</v>
      </c>
      <c r="K38" t="s">
        <v>25</v>
      </c>
      <c r="L38" t="s">
        <v>26</v>
      </c>
      <c r="M38" t="s">
        <v>168</v>
      </c>
      <c r="N38" t="s">
        <v>167</v>
      </c>
      <c r="O38">
        <v>46</v>
      </c>
      <c r="P38">
        <v>4</v>
      </c>
      <c r="Q38" s="15">
        <v>420</v>
      </c>
      <c r="R38" s="15">
        <v>769</v>
      </c>
      <c r="S38" s="15">
        <v>1396</v>
      </c>
      <c r="T38" s="15">
        <f t="shared" si="0"/>
        <v>1680</v>
      </c>
      <c r="U38" s="15">
        <f t="shared" si="1"/>
        <v>3076</v>
      </c>
    </row>
    <row r="39" spans="1:21" x14ac:dyDescent="0.25">
      <c r="A39" t="s">
        <v>97</v>
      </c>
      <c r="B39" s="16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166</v>
      </c>
      <c r="I39" t="s">
        <v>37</v>
      </c>
      <c r="J39" t="s">
        <v>38</v>
      </c>
      <c r="K39" t="s">
        <v>25</v>
      </c>
      <c r="L39" t="s">
        <v>26</v>
      </c>
      <c r="M39" t="s">
        <v>163</v>
      </c>
      <c r="N39" t="s">
        <v>164</v>
      </c>
      <c r="O39">
        <v>38</v>
      </c>
      <c r="P39">
        <v>2</v>
      </c>
      <c r="Q39" s="15">
        <v>1252</v>
      </c>
      <c r="R39" s="15">
        <v>2295</v>
      </c>
      <c r="S39" s="15">
        <v>2086</v>
      </c>
      <c r="T39" s="15">
        <f t="shared" si="0"/>
        <v>2504</v>
      </c>
      <c r="U39" s="15">
        <f t="shared" si="1"/>
        <v>4590</v>
      </c>
    </row>
    <row r="40" spans="1:21" x14ac:dyDescent="0.25">
      <c r="A40" t="s">
        <v>98</v>
      </c>
      <c r="B40" s="16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162</v>
      </c>
      <c r="I40" t="s">
        <v>37</v>
      </c>
      <c r="J40" t="s">
        <v>76</v>
      </c>
      <c r="K40" t="s">
        <v>25</v>
      </c>
      <c r="L40" t="s">
        <v>26</v>
      </c>
      <c r="M40" t="s">
        <v>163</v>
      </c>
      <c r="N40" t="s">
        <v>167</v>
      </c>
      <c r="O40">
        <v>42</v>
      </c>
      <c r="P40">
        <v>1</v>
      </c>
      <c r="Q40" s="15">
        <v>1266</v>
      </c>
      <c r="R40" s="15">
        <v>2320</v>
      </c>
      <c r="S40" s="15">
        <v>1054</v>
      </c>
      <c r="T40" s="15">
        <f t="shared" si="0"/>
        <v>1266</v>
      </c>
      <c r="U40" s="15">
        <f t="shared" si="1"/>
        <v>2320</v>
      </c>
    </row>
    <row r="41" spans="1:21" x14ac:dyDescent="0.25">
      <c r="A41" t="s">
        <v>99</v>
      </c>
      <c r="B41" s="16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162</v>
      </c>
      <c r="I41" t="s">
        <v>23</v>
      </c>
      <c r="J41" t="s">
        <v>47</v>
      </c>
      <c r="K41" t="s">
        <v>25</v>
      </c>
      <c r="L41" t="s">
        <v>26</v>
      </c>
      <c r="M41" t="s">
        <v>163</v>
      </c>
      <c r="N41" t="s">
        <v>167</v>
      </c>
      <c r="O41">
        <v>42</v>
      </c>
      <c r="P41">
        <v>1</v>
      </c>
      <c r="Q41" s="15">
        <v>1266</v>
      </c>
      <c r="R41" s="15">
        <v>2320</v>
      </c>
      <c r="S41" s="15">
        <v>1054</v>
      </c>
      <c r="T41" s="15">
        <f t="shared" si="0"/>
        <v>1266</v>
      </c>
      <c r="U41" s="15">
        <f t="shared" si="1"/>
        <v>2320</v>
      </c>
    </row>
    <row r="42" spans="1:21" x14ac:dyDescent="0.25">
      <c r="A42" t="s">
        <v>100</v>
      </c>
      <c r="B42" s="16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162</v>
      </c>
      <c r="I42" t="s">
        <v>37</v>
      </c>
      <c r="J42" t="s">
        <v>54</v>
      </c>
      <c r="K42" t="s">
        <v>25</v>
      </c>
      <c r="L42" t="s">
        <v>26</v>
      </c>
      <c r="M42" t="s">
        <v>163</v>
      </c>
      <c r="N42" t="s">
        <v>167</v>
      </c>
      <c r="O42">
        <v>42</v>
      </c>
      <c r="P42">
        <v>3</v>
      </c>
      <c r="Q42" s="15">
        <v>1266</v>
      </c>
      <c r="R42" s="15">
        <v>2320</v>
      </c>
      <c r="S42" s="15">
        <v>3162</v>
      </c>
      <c r="T42" s="15">
        <f t="shared" si="0"/>
        <v>3798</v>
      </c>
      <c r="U42" s="15">
        <f t="shared" si="1"/>
        <v>6960</v>
      </c>
    </row>
    <row r="43" spans="1:21" x14ac:dyDescent="0.25">
      <c r="A43" t="s">
        <v>101</v>
      </c>
      <c r="B43" s="16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162</v>
      </c>
      <c r="I43" t="s">
        <v>23</v>
      </c>
      <c r="J43" t="s">
        <v>24</v>
      </c>
      <c r="K43" t="s">
        <v>25</v>
      </c>
      <c r="L43" t="s">
        <v>26</v>
      </c>
      <c r="M43" t="s">
        <v>169</v>
      </c>
      <c r="N43" t="s">
        <v>167</v>
      </c>
      <c r="O43">
        <v>40</v>
      </c>
      <c r="P43">
        <v>1</v>
      </c>
      <c r="Q43" s="15">
        <v>308</v>
      </c>
      <c r="R43" s="15">
        <v>565</v>
      </c>
      <c r="S43" s="15">
        <v>257</v>
      </c>
      <c r="T43" s="15">
        <f t="shared" si="0"/>
        <v>308</v>
      </c>
      <c r="U43" s="15">
        <f t="shared" si="1"/>
        <v>565</v>
      </c>
    </row>
    <row r="44" spans="1:21" x14ac:dyDescent="0.25">
      <c r="A44" t="s">
        <v>103</v>
      </c>
      <c r="B44" s="16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162</v>
      </c>
      <c r="I44" t="s">
        <v>29</v>
      </c>
      <c r="J44" t="s">
        <v>30</v>
      </c>
      <c r="K44" t="s">
        <v>25</v>
      </c>
      <c r="L44" t="s">
        <v>26</v>
      </c>
      <c r="M44" t="s">
        <v>163</v>
      </c>
      <c r="N44" t="s">
        <v>164</v>
      </c>
      <c r="O44">
        <v>38</v>
      </c>
      <c r="P44">
        <v>1</v>
      </c>
      <c r="Q44" s="15">
        <v>1252</v>
      </c>
      <c r="R44" s="15">
        <v>2295</v>
      </c>
      <c r="S44" s="15">
        <v>1043</v>
      </c>
      <c r="T44" s="15">
        <f t="shared" si="0"/>
        <v>1252</v>
      </c>
      <c r="U44" s="15">
        <f t="shared" si="1"/>
        <v>2295</v>
      </c>
    </row>
    <row r="45" spans="1:21" x14ac:dyDescent="0.25">
      <c r="A45" t="s">
        <v>104</v>
      </c>
      <c r="B45" s="16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166</v>
      </c>
      <c r="I45" t="s">
        <v>29</v>
      </c>
      <c r="J45" t="s">
        <v>30</v>
      </c>
      <c r="K45" t="s">
        <v>25</v>
      </c>
      <c r="L45" t="s">
        <v>26</v>
      </c>
      <c r="M45" t="s">
        <v>163</v>
      </c>
      <c r="N45" t="s">
        <v>164</v>
      </c>
      <c r="O45">
        <v>38</v>
      </c>
      <c r="P45">
        <v>1</v>
      </c>
      <c r="Q45" s="15">
        <v>1252</v>
      </c>
      <c r="R45" s="15">
        <v>2295</v>
      </c>
      <c r="S45" s="15">
        <v>1043</v>
      </c>
      <c r="T45" s="15">
        <f t="shared" si="0"/>
        <v>1252</v>
      </c>
      <c r="U45" s="15">
        <f t="shared" si="1"/>
        <v>2295</v>
      </c>
    </row>
    <row r="46" spans="1:21" x14ac:dyDescent="0.25">
      <c r="A46" t="s">
        <v>105</v>
      </c>
      <c r="B46" s="16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162</v>
      </c>
      <c r="I46" t="s">
        <v>23</v>
      </c>
      <c r="J46" t="s">
        <v>47</v>
      </c>
      <c r="K46" t="s">
        <v>25</v>
      </c>
      <c r="L46" t="s">
        <v>26</v>
      </c>
      <c r="M46" t="s">
        <v>163</v>
      </c>
      <c r="N46" t="s">
        <v>167</v>
      </c>
      <c r="O46">
        <v>38</v>
      </c>
      <c r="P46">
        <v>2</v>
      </c>
      <c r="Q46" s="15">
        <v>1266</v>
      </c>
      <c r="R46" s="15">
        <v>2320</v>
      </c>
      <c r="S46" s="15">
        <v>2108</v>
      </c>
      <c r="T46" s="15">
        <f t="shared" si="0"/>
        <v>2532</v>
      </c>
      <c r="U46" s="15">
        <f t="shared" si="1"/>
        <v>4640</v>
      </c>
    </row>
    <row r="47" spans="1:21" x14ac:dyDescent="0.25">
      <c r="A47" t="s">
        <v>106</v>
      </c>
      <c r="B47" s="16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166</v>
      </c>
      <c r="I47" t="s">
        <v>23</v>
      </c>
      <c r="J47" t="s">
        <v>24</v>
      </c>
      <c r="K47" t="s">
        <v>25</v>
      </c>
      <c r="L47" t="s">
        <v>26</v>
      </c>
      <c r="M47" t="s">
        <v>163</v>
      </c>
      <c r="N47" t="s">
        <v>164</v>
      </c>
      <c r="O47">
        <v>46</v>
      </c>
      <c r="P47">
        <v>1</v>
      </c>
      <c r="Q47" s="15">
        <v>1252</v>
      </c>
      <c r="R47" s="15">
        <v>2295</v>
      </c>
      <c r="S47" s="15">
        <v>1043</v>
      </c>
      <c r="T47" s="15">
        <f t="shared" si="0"/>
        <v>1252</v>
      </c>
      <c r="U47" s="15">
        <f t="shared" si="1"/>
        <v>2295</v>
      </c>
    </row>
    <row r="48" spans="1:21" x14ac:dyDescent="0.25">
      <c r="A48" t="s">
        <v>107</v>
      </c>
      <c r="B48" s="16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162</v>
      </c>
      <c r="I48" t="s">
        <v>37</v>
      </c>
      <c r="J48" t="s">
        <v>76</v>
      </c>
      <c r="K48" t="s">
        <v>25</v>
      </c>
      <c r="L48" t="s">
        <v>26</v>
      </c>
      <c r="M48" t="s">
        <v>168</v>
      </c>
      <c r="N48" t="s">
        <v>167</v>
      </c>
      <c r="O48">
        <v>46</v>
      </c>
      <c r="P48">
        <v>1</v>
      </c>
      <c r="Q48" s="15">
        <v>420</v>
      </c>
      <c r="R48" s="15">
        <v>769</v>
      </c>
      <c r="S48" s="15">
        <v>349</v>
      </c>
      <c r="T48" s="15">
        <f t="shared" si="0"/>
        <v>420</v>
      </c>
      <c r="U48" s="15">
        <f t="shared" si="1"/>
        <v>769</v>
      </c>
    </row>
    <row r="49" spans="1:21" x14ac:dyDescent="0.25">
      <c r="A49" t="s">
        <v>108</v>
      </c>
      <c r="B49" s="16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162</v>
      </c>
      <c r="I49" t="s">
        <v>23</v>
      </c>
      <c r="J49" t="s">
        <v>24</v>
      </c>
      <c r="K49" t="s">
        <v>25</v>
      </c>
      <c r="L49" t="s">
        <v>26</v>
      </c>
      <c r="M49" t="s">
        <v>163</v>
      </c>
      <c r="N49" t="s">
        <v>167</v>
      </c>
      <c r="O49">
        <v>42</v>
      </c>
      <c r="P49">
        <v>1</v>
      </c>
      <c r="Q49" s="15">
        <v>1266</v>
      </c>
      <c r="R49" s="15">
        <v>2320</v>
      </c>
      <c r="S49" s="15">
        <v>1054</v>
      </c>
      <c r="T49" s="15">
        <f t="shared" si="0"/>
        <v>1266</v>
      </c>
      <c r="U49" s="15">
        <f t="shared" si="1"/>
        <v>2320</v>
      </c>
    </row>
    <row r="50" spans="1:21" x14ac:dyDescent="0.25">
      <c r="A50" t="s">
        <v>109</v>
      </c>
      <c r="B50" s="16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162</v>
      </c>
      <c r="I50" t="s">
        <v>37</v>
      </c>
      <c r="J50" t="s">
        <v>38</v>
      </c>
      <c r="K50" t="s">
        <v>25</v>
      </c>
      <c r="L50" t="s">
        <v>26</v>
      </c>
      <c r="M50" t="s">
        <v>163</v>
      </c>
      <c r="N50" t="s">
        <v>164</v>
      </c>
      <c r="O50">
        <v>38</v>
      </c>
      <c r="P50">
        <v>2</v>
      </c>
      <c r="Q50" s="15">
        <v>1252</v>
      </c>
      <c r="R50" s="15">
        <v>2295</v>
      </c>
      <c r="S50" s="15">
        <v>2086</v>
      </c>
      <c r="T50" s="15">
        <f t="shared" si="0"/>
        <v>2504</v>
      </c>
      <c r="U50" s="15">
        <f t="shared" si="1"/>
        <v>4590</v>
      </c>
    </row>
    <row r="51" spans="1:21" x14ac:dyDescent="0.25">
      <c r="A51" t="s">
        <v>110</v>
      </c>
      <c r="B51" s="16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166</v>
      </c>
      <c r="I51" t="s">
        <v>37</v>
      </c>
      <c r="J51" t="s">
        <v>38</v>
      </c>
      <c r="K51" t="s">
        <v>25</v>
      </c>
      <c r="L51" t="s">
        <v>26</v>
      </c>
      <c r="M51" t="s">
        <v>163</v>
      </c>
      <c r="N51" t="s">
        <v>164</v>
      </c>
      <c r="O51">
        <v>38</v>
      </c>
      <c r="P51">
        <v>2</v>
      </c>
      <c r="Q51" s="15">
        <v>1252</v>
      </c>
      <c r="R51" s="15">
        <v>2295</v>
      </c>
      <c r="S51" s="15">
        <v>2086</v>
      </c>
      <c r="T51" s="15">
        <f t="shared" si="0"/>
        <v>2504</v>
      </c>
      <c r="U51" s="15">
        <f t="shared" si="1"/>
        <v>4590</v>
      </c>
    </row>
    <row r="52" spans="1:21" x14ac:dyDescent="0.25">
      <c r="A52" t="s">
        <v>111</v>
      </c>
      <c r="B52" s="16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162</v>
      </c>
      <c r="I52" t="s">
        <v>89</v>
      </c>
      <c r="J52" t="s">
        <v>112</v>
      </c>
      <c r="K52" t="s">
        <v>25</v>
      </c>
      <c r="L52" t="s">
        <v>26</v>
      </c>
      <c r="M52" t="s">
        <v>163</v>
      </c>
      <c r="N52" t="s">
        <v>167</v>
      </c>
      <c r="O52">
        <v>46</v>
      </c>
      <c r="P52">
        <v>1</v>
      </c>
      <c r="Q52" s="15">
        <v>1266</v>
      </c>
      <c r="R52" s="15">
        <v>2320</v>
      </c>
      <c r="S52" s="15">
        <v>1054</v>
      </c>
      <c r="T52" s="15">
        <f t="shared" si="0"/>
        <v>1266</v>
      </c>
      <c r="U52" s="15">
        <f t="shared" si="1"/>
        <v>2320</v>
      </c>
    </row>
    <row r="53" spans="1:21" x14ac:dyDescent="0.25">
      <c r="A53" t="s">
        <v>114</v>
      </c>
      <c r="B53" s="16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162</v>
      </c>
      <c r="I53" t="s">
        <v>23</v>
      </c>
      <c r="J53" t="s">
        <v>47</v>
      </c>
      <c r="K53" t="s">
        <v>25</v>
      </c>
      <c r="L53" t="s">
        <v>26</v>
      </c>
      <c r="M53" t="s">
        <v>163</v>
      </c>
      <c r="N53" t="s">
        <v>167</v>
      </c>
      <c r="O53">
        <v>38</v>
      </c>
      <c r="P53">
        <v>2</v>
      </c>
      <c r="Q53" s="15">
        <v>1266</v>
      </c>
      <c r="R53" s="15">
        <v>2320</v>
      </c>
      <c r="S53" s="15">
        <v>2108</v>
      </c>
      <c r="T53" s="15">
        <f t="shared" si="0"/>
        <v>2532</v>
      </c>
      <c r="U53" s="15">
        <f t="shared" si="1"/>
        <v>4640</v>
      </c>
    </row>
    <row r="54" spans="1:21" x14ac:dyDescent="0.25">
      <c r="A54" t="s">
        <v>115</v>
      </c>
      <c r="B54" s="16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166</v>
      </c>
      <c r="I54" t="s">
        <v>37</v>
      </c>
      <c r="J54" t="s">
        <v>38</v>
      </c>
      <c r="K54" t="s">
        <v>25</v>
      </c>
      <c r="L54" t="s">
        <v>26</v>
      </c>
      <c r="M54" t="s">
        <v>168</v>
      </c>
      <c r="N54" t="s">
        <v>167</v>
      </c>
      <c r="O54">
        <v>42</v>
      </c>
      <c r="P54">
        <v>1</v>
      </c>
      <c r="Q54" s="15">
        <v>420</v>
      </c>
      <c r="R54" s="15">
        <v>769</v>
      </c>
      <c r="S54" s="15">
        <v>349</v>
      </c>
      <c r="T54" s="15">
        <f t="shared" si="0"/>
        <v>420</v>
      </c>
      <c r="U54" s="15">
        <f t="shared" si="1"/>
        <v>769</v>
      </c>
    </row>
    <row r="55" spans="1:21" x14ac:dyDescent="0.25">
      <c r="A55" t="s">
        <v>116</v>
      </c>
      <c r="B55" s="16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162</v>
      </c>
      <c r="I55" t="s">
        <v>51</v>
      </c>
      <c r="J55" t="s">
        <v>52</v>
      </c>
      <c r="K55" t="s">
        <v>25</v>
      </c>
      <c r="L55" t="s">
        <v>26</v>
      </c>
      <c r="M55" t="s">
        <v>163</v>
      </c>
      <c r="N55" t="s">
        <v>167</v>
      </c>
      <c r="O55">
        <v>46</v>
      </c>
      <c r="P55">
        <v>1</v>
      </c>
      <c r="Q55" s="15">
        <v>1266</v>
      </c>
      <c r="R55" s="15">
        <v>2320</v>
      </c>
      <c r="S55" s="15">
        <v>1054</v>
      </c>
      <c r="T55" s="15">
        <f t="shared" si="0"/>
        <v>1266</v>
      </c>
      <c r="U55" s="15">
        <f t="shared" si="1"/>
        <v>2320</v>
      </c>
    </row>
    <row r="56" spans="1:21" x14ac:dyDescent="0.25">
      <c r="A56" t="s">
        <v>117</v>
      </c>
      <c r="B56" s="16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162</v>
      </c>
      <c r="I56" t="s">
        <v>37</v>
      </c>
      <c r="J56" t="s">
        <v>38</v>
      </c>
      <c r="K56" t="s">
        <v>25</v>
      </c>
      <c r="L56" t="s">
        <v>26</v>
      </c>
      <c r="M56" t="s">
        <v>169</v>
      </c>
      <c r="N56" t="s">
        <v>167</v>
      </c>
      <c r="O56">
        <v>42</v>
      </c>
      <c r="P56">
        <v>4</v>
      </c>
      <c r="Q56" s="15">
        <v>308</v>
      </c>
      <c r="R56" s="15">
        <v>565</v>
      </c>
      <c r="S56" s="15">
        <v>1028</v>
      </c>
      <c r="T56" s="15">
        <f t="shared" si="0"/>
        <v>1232</v>
      </c>
      <c r="U56" s="15">
        <f t="shared" si="1"/>
        <v>2260</v>
      </c>
    </row>
    <row r="57" spans="1:21" x14ac:dyDescent="0.25">
      <c r="A57" t="s">
        <v>118</v>
      </c>
      <c r="B57" s="16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162</v>
      </c>
      <c r="I57" t="s">
        <v>51</v>
      </c>
      <c r="J57" t="s">
        <v>52</v>
      </c>
      <c r="K57" t="s">
        <v>25</v>
      </c>
      <c r="L57" t="s">
        <v>26</v>
      </c>
      <c r="M57" t="s">
        <v>163</v>
      </c>
      <c r="N57" t="s">
        <v>167</v>
      </c>
      <c r="O57">
        <v>46</v>
      </c>
      <c r="P57">
        <v>4</v>
      </c>
      <c r="Q57" s="15">
        <v>1266</v>
      </c>
      <c r="R57" s="15">
        <v>2320</v>
      </c>
      <c r="S57" s="15">
        <v>4216</v>
      </c>
      <c r="T57" s="15">
        <f t="shared" si="0"/>
        <v>5064</v>
      </c>
      <c r="U57" s="15">
        <f t="shared" si="1"/>
        <v>9280</v>
      </c>
    </row>
    <row r="58" spans="1:21" x14ac:dyDescent="0.25">
      <c r="A58" t="s">
        <v>119</v>
      </c>
      <c r="B58" s="16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162</v>
      </c>
      <c r="I58" t="s">
        <v>89</v>
      </c>
      <c r="J58" t="s">
        <v>120</v>
      </c>
      <c r="K58" t="s">
        <v>25</v>
      </c>
      <c r="L58" t="s">
        <v>26</v>
      </c>
      <c r="M58" t="s">
        <v>163</v>
      </c>
      <c r="N58" t="s">
        <v>167</v>
      </c>
      <c r="O58">
        <v>38</v>
      </c>
      <c r="P58">
        <v>3</v>
      </c>
      <c r="Q58" s="15">
        <v>1266</v>
      </c>
      <c r="R58" s="15">
        <v>2320</v>
      </c>
      <c r="S58" s="15">
        <v>3162</v>
      </c>
      <c r="T58" s="15">
        <f t="shared" si="0"/>
        <v>3798</v>
      </c>
      <c r="U58" s="15">
        <f t="shared" si="1"/>
        <v>6960</v>
      </c>
    </row>
    <row r="59" spans="1:21" x14ac:dyDescent="0.25">
      <c r="A59" t="s">
        <v>121</v>
      </c>
      <c r="B59" s="16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162</v>
      </c>
      <c r="I59" t="s">
        <v>29</v>
      </c>
      <c r="J59" t="s">
        <v>30</v>
      </c>
      <c r="K59" t="s">
        <v>25</v>
      </c>
      <c r="L59" t="s">
        <v>26</v>
      </c>
      <c r="M59" t="s">
        <v>168</v>
      </c>
      <c r="N59" t="s">
        <v>167</v>
      </c>
      <c r="O59">
        <v>42</v>
      </c>
      <c r="P59">
        <v>3</v>
      </c>
      <c r="Q59" s="15">
        <v>420</v>
      </c>
      <c r="R59" s="15">
        <v>769</v>
      </c>
      <c r="S59" s="15">
        <v>1047</v>
      </c>
      <c r="T59" s="15">
        <f t="shared" si="0"/>
        <v>1260</v>
      </c>
      <c r="U59" s="15">
        <f t="shared" si="1"/>
        <v>2307</v>
      </c>
    </row>
    <row r="60" spans="1:21" x14ac:dyDescent="0.25">
      <c r="A60" t="s">
        <v>122</v>
      </c>
      <c r="B60" s="16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166</v>
      </c>
      <c r="I60" t="s">
        <v>23</v>
      </c>
      <c r="J60" t="s">
        <v>24</v>
      </c>
      <c r="K60" t="s">
        <v>25</v>
      </c>
      <c r="L60" t="s">
        <v>26</v>
      </c>
      <c r="M60" t="s">
        <v>163</v>
      </c>
      <c r="N60" t="s">
        <v>164</v>
      </c>
      <c r="O60">
        <v>42</v>
      </c>
      <c r="P60">
        <v>3</v>
      </c>
      <c r="Q60" s="15">
        <v>1252</v>
      </c>
      <c r="R60" s="15">
        <v>2295</v>
      </c>
      <c r="S60" s="15">
        <v>3129</v>
      </c>
      <c r="T60" s="15">
        <f t="shared" si="0"/>
        <v>3756</v>
      </c>
      <c r="U60" s="15">
        <f t="shared" si="1"/>
        <v>6885</v>
      </c>
    </row>
    <row r="61" spans="1:21" x14ac:dyDescent="0.25">
      <c r="A61" t="s">
        <v>123</v>
      </c>
      <c r="B61" s="16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166</v>
      </c>
      <c r="I61" t="s">
        <v>89</v>
      </c>
      <c r="J61" t="s">
        <v>90</v>
      </c>
      <c r="K61" t="s">
        <v>25</v>
      </c>
      <c r="L61" t="s">
        <v>26</v>
      </c>
      <c r="M61" t="s">
        <v>163</v>
      </c>
      <c r="N61" t="s">
        <v>164</v>
      </c>
      <c r="O61">
        <v>46</v>
      </c>
      <c r="P61">
        <v>1</v>
      </c>
      <c r="Q61" s="15">
        <v>1252</v>
      </c>
      <c r="R61" s="15">
        <v>2295</v>
      </c>
      <c r="S61" s="15">
        <v>1043</v>
      </c>
      <c r="T61" s="15">
        <f t="shared" si="0"/>
        <v>1252</v>
      </c>
      <c r="U61" s="15">
        <f t="shared" si="1"/>
        <v>2295</v>
      </c>
    </row>
    <row r="62" spans="1:21" x14ac:dyDescent="0.25">
      <c r="A62" t="s">
        <v>124</v>
      </c>
      <c r="B62" s="16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166</v>
      </c>
      <c r="I62" t="s">
        <v>23</v>
      </c>
      <c r="J62" t="s">
        <v>47</v>
      </c>
      <c r="K62" t="s">
        <v>25</v>
      </c>
      <c r="L62" t="s">
        <v>26</v>
      </c>
      <c r="M62" t="s">
        <v>163</v>
      </c>
      <c r="N62" t="s">
        <v>167</v>
      </c>
      <c r="O62">
        <v>38</v>
      </c>
      <c r="P62">
        <v>1</v>
      </c>
      <c r="Q62" s="15">
        <v>1266</v>
      </c>
      <c r="R62" s="15">
        <v>2320</v>
      </c>
      <c r="S62" s="15">
        <v>1054</v>
      </c>
      <c r="T62" s="15">
        <f t="shared" si="0"/>
        <v>1266</v>
      </c>
      <c r="U62" s="15">
        <f t="shared" si="1"/>
        <v>2320</v>
      </c>
    </row>
    <row r="63" spans="1:21" x14ac:dyDescent="0.25">
      <c r="A63" t="s">
        <v>125</v>
      </c>
      <c r="B63" s="16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166</v>
      </c>
      <c r="I63" t="s">
        <v>89</v>
      </c>
      <c r="J63" t="s">
        <v>126</v>
      </c>
      <c r="K63" t="s">
        <v>25</v>
      </c>
      <c r="L63" t="s">
        <v>26</v>
      </c>
      <c r="M63" t="s">
        <v>163</v>
      </c>
      <c r="N63" t="s">
        <v>167</v>
      </c>
      <c r="O63">
        <v>46</v>
      </c>
      <c r="P63">
        <v>4</v>
      </c>
      <c r="Q63" s="15">
        <v>1266</v>
      </c>
      <c r="R63" s="15">
        <v>2320</v>
      </c>
      <c r="S63" s="15">
        <v>4216</v>
      </c>
      <c r="T63" s="15">
        <f t="shared" si="0"/>
        <v>5064</v>
      </c>
      <c r="U63" s="15">
        <f t="shared" si="1"/>
        <v>9280</v>
      </c>
    </row>
    <row r="64" spans="1:21" x14ac:dyDescent="0.25">
      <c r="A64" t="s">
        <v>127</v>
      </c>
      <c r="B64" s="16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162</v>
      </c>
      <c r="I64" t="s">
        <v>37</v>
      </c>
      <c r="J64" t="s">
        <v>76</v>
      </c>
      <c r="K64" t="s">
        <v>25</v>
      </c>
      <c r="L64" t="s">
        <v>26</v>
      </c>
      <c r="M64" t="s">
        <v>169</v>
      </c>
      <c r="N64" t="s">
        <v>164</v>
      </c>
      <c r="O64">
        <v>44</v>
      </c>
      <c r="P64">
        <v>4</v>
      </c>
      <c r="Q64" s="15">
        <v>295</v>
      </c>
      <c r="R64" s="15">
        <v>540</v>
      </c>
      <c r="S64" s="15">
        <v>980</v>
      </c>
      <c r="T64" s="15">
        <f t="shared" si="0"/>
        <v>1180</v>
      </c>
      <c r="U64" s="15">
        <f t="shared" si="1"/>
        <v>2160</v>
      </c>
    </row>
    <row r="65" spans="1:21" x14ac:dyDescent="0.25">
      <c r="A65" t="s">
        <v>129</v>
      </c>
      <c r="B65" s="16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166</v>
      </c>
      <c r="I65" t="s">
        <v>89</v>
      </c>
      <c r="J65" t="s">
        <v>90</v>
      </c>
      <c r="K65" t="s">
        <v>25</v>
      </c>
      <c r="L65" t="s">
        <v>26</v>
      </c>
      <c r="M65" t="s">
        <v>163</v>
      </c>
      <c r="N65" t="s">
        <v>164</v>
      </c>
      <c r="O65">
        <v>38</v>
      </c>
      <c r="P65">
        <v>4</v>
      </c>
      <c r="Q65" s="15">
        <v>1252</v>
      </c>
      <c r="R65" s="15">
        <v>2295</v>
      </c>
      <c r="S65" s="15">
        <v>4172</v>
      </c>
      <c r="T65" s="15">
        <f t="shared" si="0"/>
        <v>5008</v>
      </c>
      <c r="U65" s="15">
        <f t="shared" si="1"/>
        <v>9180</v>
      </c>
    </row>
    <row r="66" spans="1:21" x14ac:dyDescent="0.25">
      <c r="A66" t="s">
        <v>130</v>
      </c>
      <c r="B66" s="16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162</v>
      </c>
      <c r="I66" t="s">
        <v>23</v>
      </c>
      <c r="J66" t="s">
        <v>72</v>
      </c>
      <c r="K66" t="s">
        <v>25</v>
      </c>
      <c r="L66" t="s">
        <v>26</v>
      </c>
      <c r="M66" t="s">
        <v>170</v>
      </c>
      <c r="N66" t="s">
        <v>164</v>
      </c>
      <c r="O66">
        <v>48</v>
      </c>
      <c r="P66">
        <v>4</v>
      </c>
      <c r="Q66" s="15">
        <v>1898</v>
      </c>
      <c r="R66" s="15">
        <v>3375</v>
      </c>
      <c r="S66" s="15">
        <v>5908</v>
      </c>
      <c r="T66" s="15">
        <f t="shared" ref="T66:T89" si="2">P66*Q66</f>
        <v>7592</v>
      </c>
      <c r="U66" s="15">
        <f t="shared" ref="U66:U89" si="3">P66*R66</f>
        <v>13500</v>
      </c>
    </row>
    <row r="67" spans="1:21" x14ac:dyDescent="0.25">
      <c r="A67" t="s">
        <v>132</v>
      </c>
      <c r="B67" s="16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166</v>
      </c>
      <c r="I67" t="s">
        <v>23</v>
      </c>
      <c r="J67" t="s">
        <v>72</v>
      </c>
      <c r="K67" t="s">
        <v>25</v>
      </c>
      <c r="L67" t="s">
        <v>26</v>
      </c>
      <c r="M67" t="s">
        <v>163</v>
      </c>
      <c r="N67" t="s">
        <v>164</v>
      </c>
      <c r="O67">
        <v>38</v>
      </c>
      <c r="P67">
        <v>4</v>
      </c>
      <c r="Q67" s="15">
        <v>1252</v>
      </c>
      <c r="R67" s="15">
        <v>2295</v>
      </c>
      <c r="S67" s="15">
        <v>4172</v>
      </c>
      <c r="T67" s="15">
        <f t="shared" si="2"/>
        <v>5008</v>
      </c>
      <c r="U67" s="15">
        <f t="shared" si="3"/>
        <v>9180</v>
      </c>
    </row>
    <row r="68" spans="1:21" x14ac:dyDescent="0.25">
      <c r="A68" t="s">
        <v>133</v>
      </c>
      <c r="B68" s="16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162</v>
      </c>
      <c r="I68" t="s">
        <v>23</v>
      </c>
      <c r="J68" t="s">
        <v>24</v>
      </c>
      <c r="K68" t="s">
        <v>25</v>
      </c>
      <c r="L68" t="s">
        <v>26</v>
      </c>
      <c r="M68" t="s">
        <v>163</v>
      </c>
      <c r="N68" t="s">
        <v>164</v>
      </c>
      <c r="O68">
        <v>46</v>
      </c>
      <c r="P68">
        <v>4</v>
      </c>
      <c r="Q68" s="15">
        <v>1252</v>
      </c>
      <c r="R68" s="15">
        <v>2295</v>
      </c>
      <c r="S68" s="15">
        <v>4172</v>
      </c>
      <c r="T68" s="15">
        <f t="shared" si="2"/>
        <v>5008</v>
      </c>
      <c r="U68" s="15">
        <f t="shared" si="3"/>
        <v>9180</v>
      </c>
    </row>
    <row r="69" spans="1:21" x14ac:dyDescent="0.25">
      <c r="A69" t="s">
        <v>134</v>
      </c>
      <c r="B69" s="16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162</v>
      </c>
      <c r="I69" t="s">
        <v>37</v>
      </c>
      <c r="J69" t="s">
        <v>54</v>
      </c>
      <c r="K69" t="s">
        <v>25</v>
      </c>
      <c r="L69" t="s">
        <v>26</v>
      </c>
      <c r="M69" t="s">
        <v>163</v>
      </c>
      <c r="N69" t="s">
        <v>164</v>
      </c>
      <c r="O69">
        <v>46</v>
      </c>
      <c r="P69">
        <v>4</v>
      </c>
      <c r="Q69" s="15">
        <v>1252</v>
      </c>
      <c r="R69" s="15">
        <v>2295</v>
      </c>
      <c r="S69" s="15">
        <v>4172</v>
      </c>
      <c r="T69" s="15">
        <f t="shared" si="2"/>
        <v>5008</v>
      </c>
      <c r="U69" s="15">
        <f t="shared" si="3"/>
        <v>9180</v>
      </c>
    </row>
    <row r="70" spans="1:21" x14ac:dyDescent="0.25">
      <c r="A70" t="s">
        <v>135</v>
      </c>
      <c r="B70" s="16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166</v>
      </c>
      <c r="I70" t="s">
        <v>37</v>
      </c>
      <c r="J70" t="s">
        <v>136</v>
      </c>
      <c r="K70" t="s">
        <v>25</v>
      </c>
      <c r="L70" t="s">
        <v>26</v>
      </c>
      <c r="M70" t="s">
        <v>169</v>
      </c>
      <c r="N70" t="s">
        <v>164</v>
      </c>
      <c r="O70">
        <v>40</v>
      </c>
      <c r="P70">
        <v>2</v>
      </c>
      <c r="Q70" s="15">
        <v>295</v>
      </c>
      <c r="R70" s="15">
        <v>540</v>
      </c>
      <c r="S70" s="15">
        <v>490</v>
      </c>
      <c r="T70" s="15">
        <f t="shared" si="2"/>
        <v>590</v>
      </c>
      <c r="U70" s="15">
        <f t="shared" si="3"/>
        <v>1080</v>
      </c>
    </row>
    <row r="71" spans="1:21" x14ac:dyDescent="0.25">
      <c r="A71" t="s">
        <v>137</v>
      </c>
      <c r="B71" s="16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162</v>
      </c>
      <c r="I71" t="s">
        <v>51</v>
      </c>
      <c r="J71" t="s">
        <v>138</v>
      </c>
      <c r="K71" t="s">
        <v>25</v>
      </c>
      <c r="L71" t="s">
        <v>26</v>
      </c>
      <c r="M71" t="s">
        <v>163</v>
      </c>
      <c r="N71" t="s">
        <v>164</v>
      </c>
      <c r="O71">
        <v>46</v>
      </c>
      <c r="P71">
        <v>2</v>
      </c>
      <c r="Q71" s="15">
        <v>1252</v>
      </c>
      <c r="R71" s="15">
        <v>2295</v>
      </c>
      <c r="S71" s="15">
        <v>2086</v>
      </c>
      <c r="T71" s="15">
        <f t="shared" si="2"/>
        <v>2504</v>
      </c>
      <c r="U71" s="15">
        <f t="shared" si="3"/>
        <v>4590</v>
      </c>
    </row>
    <row r="72" spans="1:21" x14ac:dyDescent="0.25">
      <c r="A72" t="s">
        <v>139</v>
      </c>
      <c r="B72" s="16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162</v>
      </c>
      <c r="I72" t="s">
        <v>23</v>
      </c>
      <c r="J72" t="s">
        <v>47</v>
      </c>
      <c r="K72" t="s">
        <v>25</v>
      </c>
      <c r="L72" t="s">
        <v>26</v>
      </c>
      <c r="M72" t="s">
        <v>163</v>
      </c>
      <c r="N72" t="s">
        <v>167</v>
      </c>
      <c r="O72">
        <v>38</v>
      </c>
      <c r="P72">
        <v>1</v>
      </c>
      <c r="Q72" s="15">
        <v>1266</v>
      </c>
      <c r="R72" s="15">
        <v>2320</v>
      </c>
      <c r="S72" s="15">
        <v>1054</v>
      </c>
      <c r="T72" s="15">
        <f t="shared" si="2"/>
        <v>1266</v>
      </c>
      <c r="U72" s="15">
        <f t="shared" si="3"/>
        <v>2320</v>
      </c>
    </row>
    <row r="73" spans="1:21" x14ac:dyDescent="0.25">
      <c r="A73" t="s">
        <v>140</v>
      </c>
      <c r="B73" s="16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162</v>
      </c>
      <c r="I73" t="s">
        <v>37</v>
      </c>
      <c r="J73" t="s">
        <v>76</v>
      </c>
      <c r="K73" t="s">
        <v>25</v>
      </c>
      <c r="L73" t="s">
        <v>26</v>
      </c>
      <c r="M73" t="s">
        <v>170</v>
      </c>
      <c r="N73" t="s">
        <v>164</v>
      </c>
      <c r="O73">
        <v>38</v>
      </c>
      <c r="P73">
        <v>4</v>
      </c>
      <c r="Q73" s="15">
        <v>1898</v>
      </c>
      <c r="R73" s="15">
        <v>3375</v>
      </c>
      <c r="S73" s="15">
        <v>5908</v>
      </c>
      <c r="T73" s="15">
        <f t="shared" si="2"/>
        <v>7592</v>
      </c>
      <c r="U73" s="15">
        <f t="shared" si="3"/>
        <v>13500</v>
      </c>
    </row>
    <row r="74" spans="1:21" x14ac:dyDescent="0.25">
      <c r="A74" t="s">
        <v>141</v>
      </c>
      <c r="B74" s="16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166</v>
      </c>
      <c r="I74" t="s">
        <v>37</v>
      </c>
      <c r="J74" t="s">
        <v>54</v>
      </c>
      <c r="K74" t="s">
        <v>25</v>
      </c>
      <c r="L74" t="s">
        <v>26</v>
      </c>
      <c r="M74" t="s">
        <v>163</v>
      </c>
      <c r="N74" t="s">
        <v>164</v>
      </c>
      <c r="O74">
        <v>46</v>
      </c>
      <c r="P74">
        <v>4</v>
      </c>
      <c r="Q74" s="15">
        <v>1252</v>
      </c>
      <c r="R74" s="15">
        <v>2295</v>
      </c>
      <c r="S74" s="15">
        <v>4172</v>
      </c>
      <c r="T74" s="15">
        <f t="shared" si="2"/>
        <v>5008</v>
      </c>
      <c r="U74" s="15">
        <f t="shared" si="3"/>
        <v>9180</v>
      </c>
    </row>
    <row r="75" spans="1:21" x14ac:dyDescent="0.25">
      <c r="A75" t="s">
        <v>142</v>
      </c>
      <c r="B75" s="16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166</v>
      </c>
      <c r="I75" t="s">
        <v>59</v>
      </c>
      <c r="J75" t="s">
        <v>60</v>
      </c>
      <c r="K75" t="s">
        <v>25</v>
      </c>
      <c r="L75" t="s">
        <v>26</v>
      </c>
      <c r="M75" t="s">
        <v>169</v>
      </c>
      <c r="N75" t="s">
        <v>164</v>
      </c>
      <c r="O75">
        <v>52</v>
      </c>
      <c r="P75">
        <v>3</v>
      </c>
      <c r="Q75" s="15">
        <v>295</v>
      </c>
      <c r="R75" s="15">
        <v>540</v>
      </c>
      <c r="S75" s="15">
        <v>735</v>
      </c>
      <c r="T75" s="15">
        <f t="shared" si="2"/>
        <v>885</v>
      </c>
      <c r="U75" s="15">
        <f t="shared" si="3"/>
        <v>1620</v>
      </c>
    </row>
    <row r="76" spans="1:21" x14ac:dyDescent="0.25">
      <c r="A76" t="s">
        <v>144</v>
      </c>
      <c r="B76" s="16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162</v>
      </c>
      <c r="I76" t="s">
        <v>37</v>
      </c>
      <c r="J76" t="s">
        <v>54</v>
      </c>
      <c r="K76" t="s">
        <v>25</v>
      </c>
      <c r="L76" t="s">
        <v>26</v>
      </c>
      <c r="M76" t="s">
        <v>163</v>
      </c>
      <c r="N76" t="s">
        <v>167</v>
      </c>
      <c r="O76">
        <v>38</v>
      </c>
      <c r="P76">
        <v>1</v>
      </c>
      <c r="Q76" s="15">
        <v>1266</v>
      </c>
      <c r="R76" s="15">
        <v>2320</v>
      </c>
      <c r="S76" s="15">
        <v>1054</v>
      </c>
      <c r="T76" s="15">
        <f t="shared" si="2"/>
        <v>1266</v>
      </c>
      <c r="U76" s="15">
        <f t="shared" si="3"/>
        <v>2320</v>
      </c>
    </row>
    <row r="77" spans="1:21" x14ac:dyDescent="0.25">
      <c r="A77" t="s">
        <v>145</v>
      </c>
      <c r="B77" s="16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166</v>
      </c>
      <c r="I77" t="s">
        <v>37</v>
      </c>
      <c r="J77" t="s">
        <v>76</v>
      </c>
      <c r="K77" t="s">
        <v>25</v>
      </c>
      <c r="L77" t="s">
        <v>26</v>
      </c>
      <c r="M77" t="s">
        <v>163</v>
      </c>
      <c r="N77" t="s">
        <v>167</v>
      </c>
      <c r="O77">
        <v>38</v>
      </c>
      <c r="P77">
        <v>1</v>
      </c>
      <c r="Q77" s="15">
        <v>1266</v>
      </c>
      <c r="R77" s="15">
        <v>2320</v>
      </c>
      <c r="S77" s="15">
        <v>1054</v>
      </c>
      <c r="T77" s="15">
        <f t="shared" si="2"/>
        <v>1266</v>
      </c>
      <c r="U77" s="15">
        <f t="shared" si="3"/>
        <v>2320</v>
      </c>
    </row>
    <row r="78" spans="1:21" x14ac:dyDescent="0.25">
      <c r="A78" t="s">
        <v>146</v>
      </c>
      <c r="B78" s="16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166</v>
      </c>
      <c r="I78" t="s">
        <v>89</v>
      </c>
      <c r="J78" t="s">
        <v>147</v>
      </c>
      <c r="K78" t="s">
        <v>25</v>
      </c>
      <c r="L78" t="s">
        <v>26</v>
      </c>
      <c r="M78" t="s">
        <v>163</v>
      </c>
      <c r="N78" t="s">
        <v>167</v>
      </c>
      <c r="O78">
        <v>38</v>
      </c>
      <c r="P78">
        <v>3</v>
      </c>
      <c r="Q78" s="15">
        <v>1266</v>
      </c>
      <c r="R78" s="15">
        <v>2320</v>
      </c>
      <c r="S78" s="15">
        <v>3162</v>
      </c>
      <c r="T78" s="15">
        <f t="shared" si="2"/>
        <v>3798</v>
      </c>
      <c r="U78" s="15">
        <f t="shared" si="3"/>
        <v>6960</v>
      </c>
    </row>
    <row r="79" spans="1:21" x14ac:dyDescent="0.25">
      <c r="A79" t="s">
        <v>148</v>
      </c>
      <c r="B79" s="16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166</v>
      </c>
      <c r="I79" t="s">
        <v>29</v>
      </c>
      <c r="J79" t="s">
        <v>30</v>
      </c>
      <c r="K79" t="s">
        <v>25</v>
      </c>
      <c r="L79" t="s">
        <v>26</v>
      </c>
      <c r="M79" t="s">
        <v>168</v>
      </c>
      <c r="N79" t="s">
        <v>167</v>
      </c>
      <c r="O79">
        <v>46</v>
      </c>
      <c r="P79">
        <v>2</v>
      </c>
      <c r="Q79" s="15">
        <v>420</v>
      </c>
      <c r="R79" s="15">
        <v>769</v>
      </c>
      <c r="S79" s="15">
        <v>698</v>
      </c>
      <c r="T79" s="15">
        <f t="shared" si="2"/>
        <v>840</v>
      </c>
      <c r="U79" s="15">
        <f t="shared" si="3"/>
        <v>1538</v>
      </c>
    </row>
    <row r="80" spans="1:21" x14ac:dyDescent="0.25">
      <c r="A80" t="s">
        <v>149</v>
      </c>
      <c r="B80" s="16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162</v>
      </c>
      <c r="I80" t="s">
        <v>23</v>
      </c>
      <c r="J80" t="s">
        <v>47</v>
      </c>
      <c r="K80" t="s">
        <v>25</v>
      </c>
      <c r="L80" t="s">
        <v>26</v>
      </c>
      <c r="M80" t="s">
        <v>163</v>
      </c>
      <c r="N80" t="s">
        <v>167</v>
      </c>
      <c r="O80">
        <v>38</v>
      </c>
      <c r="P80">
        <v>3</v>
      </c>
      <c r="Q80" s="15">
        <v>1266</v>
      </c>
      <c r="R80" s="15">
        <v>2320</v>
      </c>
      <c r="S80" s="15">
        <v>3162</v>
      </c>
      <c r="T80" s="15">
        <f t="shared" si="2"/>
        <v>3798</v>
      </c>
      <c r="U80" s="15">
        <f t="shared" si="3"/>
        <v>6960</v>
      </c>
    </row>
    <row r="81" spans="1:21" x14ac:dyDescent="0.25">
      <c r="A81" t="s">
        <v>150</v>
      </c>
      <c r="B81" s="16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166</v>
      </c>
      <c r="I81" t="s">
        <v>23</v>
      </c>
      <c r="J81" t="s">
        <v>24</v>
      </c>
      <c r="K81" t="s">
        <v>25</v>
      </c>
      <c r="L81" t="s">
        <v>26</v>
      </c>
      <c r="M81" t="s">
        <v>163</v>
      </c>
      <c r="N81" t="s">
        <v>164</v>
      </c>
      <c r="O81">
        <v>42</v>
      </c>
      <c r="P81">
        <v>3</v>
      </c>
      <c r="Q81" s="15">
        <v>1252</v>
      </c>
      <c r="R81" s="15">
        <v>2295</v>
      </c>
      <c r="S81" s="15">
        <v>3129</v>
      </c>
      <c r="T81" s="15">
        <f t="shared" si="2"/>
        <v>3756</v>
      </c>
      <c r="U81" s="15">
        <f t="shared" si="3"/>
        <v>6885</v>
      </c>
    </row>
    <row r="82" spans="1:21" x14ac:dyDescent="0.25">
      <c r="A82" t="s">
        <v>151</v>
      </c>
      <c r="B82" s="16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162</v>
      </c>
      <c r="I82" t="s">
        <v>37</v>
      </c>
      <c r="J82" t="s">
        <v>38</v>
      </c>
      <c r="K82" t="s">
        <v>25</v>
      </c>
      <c r="L82" t="s">
        <v>26</v>
      </c>
      <c r="M82" t="s">
        <v>169</v>
      </c>
      <c r="N82" t="s">
        <v>167</v>
      </c>
      <c r="O82">
        <v>42</v>
      </c>
      <c r="P82">
        <v>1</v>
      </c>
      <c r="Q82" s="15">
        <v>308</v>
      </c>
      <c r="R82" s="15">
        <v>565</v>
      </c>
      <c r="S82" s="15">
        <v>257</v>
      </c>
      <c r="T82" s="15">
        <f t="shared" si="2"/>
        <v>308</v>
      </c>
      <c r="U82" s="15">
        <f t="shared" si="3"/>
        <v>565</v>
      </c>
    </row>
    <row r="83" spans="1:21" x14ac:dyDescent="0.25">
      <c r="A83" t="s">
        <v>152</v>
      </c>
      <c r="B83" s="16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166</v>
      </c>
      <c r="I83" t="s">
        <v>89</v>
      </c>
      <c r="J83" t="s">
        <v>90</v>
      </c>
      <c r="K83" t="s">
        <v>25</v>
      </c>
      <c r="L83" t="s">
        <v>26</v>
      </c>
      <c r="M83" t="s">
        <v>163</v>
      </c>
      <c r="N83" t="s">
        <v>164</v>
      </c>
      <c r="O83">
        <v>38</v>
      </c>
      <c r="P83">
        <v>1</v>
      </c>
      <c r="Q83" s="15">
        <v>1252</v>
      </c>
      <c r="R83" s="15">
        <v>2295</v>
      </c>
      <c r="S83" s="15">
        <v>1043</v>
      </c>
      <c r="T83" s="15">
        <f t="shared" si="2"/>
        <v>1252</v>
      </c>
      <c r="U83" s="15">
        <f t="shared" si="3"/>
        <v>2295</v>
      </c>
    </row>
    <row r="84" spans="1:21" x14ac:dyDescent="0.25">
      <c r="A84" t="s">
        <v>153</v>
      </c>
      <c r="B84" s="16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162</v>
      </c>
      <c r="I84" t="s">
        <v>59</v>
      </c>
      <c r="J84" t="s">
        <v>60</v>
      </c>
      <c r="K84" t="s">
        <v>25</v>
      </c>
      <c r="L84" t="s">
        <v>26</v>
      </c>
      <c r="M84" t="s">
        <v>163</v>
      </c>
      <c r="N84" t="s">
        <v>164</v>
      </c>
      <c r="O84">
        <v>46</v>
      </c>
      <c r="P84">
        <v>1</v>
      </c>
      <c r="Q84" s="15">
        <v>1252</v>
      </c>
      <c r="R84" s="15">
        <v>2295</v>
      </c>
      <c r="S84" s="15">
        <v>1043</v>
      </c>
      <c r="T84" s="15">
        <f t="shared" si="2"/>
        <v>1252</v>
      </c>
      <c r="U84" s="15">
        <f t="shared" si="3"/>
        <v>2295</v>
      </c>
    </row>
    <row r="85" spans="1:21" x14ac:dyDescent="0.25">
      <c r="A85" t="s">
        <v>154</v>
      </c>
      <c r="B85" s="16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166</v>
      </c>
      <c r="I85" t="s">
        <v>51</v>
      </c>
      <c r="J85" t="s">
        <v>138</v>
      </c>
      <c r="K85" t="s">
        <v>25</v>
      </c>
      <c r="L85" t="s">
        <v>26</v>
      </c>
      <c r="M85" t="s">
        <v>163</v>
      </c>
      <c r="N85" t="s">
        <v>167</v>
      </c>
      <c r="O85">
        <v>38</v>
      </c>
      <c r="P85">
        <v>1</v>
      </c>
      <c r="Q85" s="15">
        <v>1266</v>
      </c>
      <c r="R85" s="15">
        <v>2320</v>
      </c>
      <c r="S85" s="15">
        <v>1054</v>
      </c>
      <c r="T85" s="15">
        <f t="shared" si="2"/>
        <v>1266</v>
      </c>
      <c r="U85" s="15">
        <f t="shared" si="3"/>
        <v>2320</v>
      </c>
    </row>
    <row r="86" spans="1:21" x14ac:dyDescent="0.25">
      <c r="A86" t="s">
        <v>155</v>
      </c>
      <c r="B86" s="16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162</v>
      </c>
      <c r="I86" t="s">
        <v>23</v>
      </c>
      <c r="J86" t="s">
        <v>72</v>
      </c>
      <c r="K86" t="s">
        <v>25</v>
      </c>
      <c r="L86" t="s">
        <v>26</v>
      </c>
      <c r="M86" t="s">
        <v>163</v>
      </c>
      <c r="N86" t="s">
        <v>167</v>
      </c>
      <c r="O86">
        <v>42</v>
      </c>
      <c r="P86">
        <v>1</v>
      </c>
      <c r="Q86" s="15">
        <v>1266</v>
      </c>
      <c r="R86" s="15">
        <v>2320</v>
      </c>
      <c r="S86" s="15">
        <v>1054</v>
      </c>
      <c r="T86" s="15">
        <f t="shared" si="2"/>
        <v>1266</v>
      </c>
      <c r="U86" s="15">
        <f t="shared" si="3"/>
        <v>2320</v>
      </c>
    </row>
    <row r="87" spans="1:21" x14ac:dyDescent="0.25">
      <c r="A87" t="s">
        <v>156</v>
      </c>
      <c r="B87" s="16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162</v>
      </c>
      <c r="I87" t="s">
        <v>59</v>
      </c>
      <c r="J87" t="s">
        <v>60</v>
      </c>
      <c r="K87" t="s">
        <v>25</v>
      </c>
      <c r="L87" t="s">
        <v>26</v>
      </c>
      <c r="M87" t="s">
        <v>163</v>
      </c>
      <c r="N87" t="s">
        <v>164</v>
      </c>
      <c r="O87">
        <v>42</v>
      </c>
      <c r="P87">
        <v>1</v>
      </c>
      <c r="Q87" s="15">
        <v>1252</v>
      </c>
      <c r="R87" s="15">
        <v>2295</v>
      </c>
      <c r="S87" s="15">
        <v>1043</v>
      </c>
      <c r="T87" s="15">
        <f t="shared" si="2"/>
        <v>1252</v>
      </c>
      <c r="U87" s="15">
        <f t="shared" si="3"/>
        <v>2295</v>
      </c>
    </row>
    <row r="88" spans="1:21" x14ac:dyDescent="0.25">
      <c r="A88" t="s">
        <v>157</v>
      </c>
      <c r="B88" s="16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162</v>
      </c>
      <c r="I88" t="s">
        <v>23</v>
      </c>
      <c r="J88" t="s">
        <v>24</v>
      </c>
      <c r="K88" t="s">
        <v>25</v>
      </c>
      <c r="L88" t="s">
        <v>26</v>
      </c>
      <c r="M88" t="s">
        <v>169</v>
      </c>
      <c r="N88" t="s">
        <v>164</v>
      </c>
      <c r="O88">
        <v>42</v>
      </c>
      <c r="P88">
        <v>1</v>
      </c>
      <c r="Q88" s="15">
        <v>295</v>
      </c>
      <c r="R88" s="15">
        <v>540</v>
      </c>
      <c r="S88" s="15">
        <v>245</v>
      </c>
      <c r="T88" s="15">
        <f t="shared" si="2"/>
        <v>295</v>
      </c>
      <c r="U88" s="15">
        <f t="shared" si="3"/>
        <v>540</v>
      </c>
    </row>
    <row r="89" spans="1:21" x14ac:dyDescent="0.25">
      <c r="A89" t="s">
        <v>158</v>
      </c>
      <c r="B89" s="16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166</v>
      </c>
      <c r="I89" t="s">
        <v>37</v>
      </c>
      <c r="J89" t="s">
        <v>54</v>
      </c>
      <c r="K89" t="s">
        <v>25</v>
      </c>
      <c r="L89" t="s">
        <v>26</v>
      </c>
      <c r="M89" t="s">
        <v>163</v>
      </c>
      <c r="N89" t="s">
        <v>164</v>
      </c>
      <c r="O89">
        <v>42</v>
      </c>
      <c r="P89">
        <v>4</v>
      </c>
      <c r="Q89" s="15">
        <v>1252</v>
      </c>
      <c r="R89" s="15">
        <v>2295</v>
      </c>
      <c r="S89" s="15">
        <v>4172</v>
      </c>
      <c r="T89" s="15">
        <f t="shared" si="2"/>
        <v>5008</v>
      </c>
      <c r="U89" s="15">
        <f t="shared" si="3"/>
        <v>9180</v>
      </c>
    </row>
  </sheetData>
  <conditionalFormatting sqref="A90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zoomScale="85" zoomScaleNormal="85" workbookViewId="0">
      <selection activeCell="J12" sqref="J12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infopath/2007/PartnerControls"/>
    <ds:schemaRef ds:uri="http://schemas.microsoft.com/office/2006/metadata/properties"/>
    <ds:schemaRef ds:uri="6cf0ffbd-cd96-4ba4-bd4f-bd34e8409846"/>
    <ds:schemaRef ds:uri="http://www.w3.org/XML/1998/namespace"/>
    <ds:schemaRef ds:uri="ef7ae401-bd17-41a5-97cb-ef653218410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BikeSales_Fact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2026-02-13T09:38:15Z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
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Analytics\ZherwinBC302\Midterm_Task_2\"/>
    </mc:Choice>
  </mc:AlternateContent>
  <xr:revisionPtr revIDLastSave="0" documentId="13_ncr:1_{F8941E18-892E-4127-9F02-D6421FD471F6}" xr6:coauthVersionLast="47" xr6:coauthVersionMax="47" xr10:uidLastSave="{00000000-0000-0000-0000-000000000000}"/>
  <bookViews>
    <workbookView xWindow="-120" yWindow="-120" windowWidth="20730" windowHeight="11160" tabRatio="667" firstSheet="4" activeTab="9" xr2:uid="{00000000-000D-0000-FFFF-FFFF00000000}"/>
  </bookViews>
  <sheets>
    <sheet name="ProductDesc_dim" sheetId="12" r:id="rId1"/>
    <sheet name="ProductClrSz_dim" sheetId="11" r:id="rId2"/>
    <sheet name="Country_dim" sheetId="8" r:id="rId3"/>
    <sheet name="Location_dim" sheetId="7" r:id="rId4"/>
    <sheet name="CustomerAge_dim" sheetId="10" r:id="rId5"/>
    <sheet name="age_Group_dim" sheetId="5" r:id="rId6"/>
    <sheet name="Client_dim" sheetId="6" r:id="rId7"/>
    <sheet name="Bike_Sales_fact" sheetId="2" r:id="rId8"/>
    <sheet name="Bike Sales" sheetId="1" r:id="rId9"/>
    <sheet name="PivotTable" sheetId="4" r:id="rId10"/>
  </sheets>
  <definedNames>
    <definedName name="_xlcn.WorksheetConnection_Bike_Sales_Pivot_LabZheriwnBautista.xlsxAgeGroupTBL1" hidden="1">AgeGroupTBL[]</definedName>
    <definedName name="_xlcn.WorksheetConnection_Bike_Sales_Pivot_LabZheriwnBautista.xlsxBikeSalesTBL1" hidden="1">BikeSalesTBL[]</definedName>
    <definedName name="_xlcn.WorksheetConnection_Bike_Sales_Pivot_LabZheriwnBautista.xlsxClientTBL1" hidden="1">ClientTBL[]</definedName>
    <definedName name="_xlcn.WorksheetConnection_Bike_Sales_Pivot_LabZheriwnBautista.xlsxCountryTBL1" hidden="1">CountryTBL[]</definedName>
    <definedName name="_xlcn.WorksheetConnection_Bike_Sales_Pivot_LabZheriwnBautista.xlsxCustomerAgeTBL1" hidden="1">CustomerAgeTBL[]</definedName>
    <definedName name="_xlcn.WorksheetConnection_Bike_Sales_Pivot_LabZheriwnBautista.xlsxLocationTBL1" hidden="1">LocationTBL[]</definedName>
    <definedName name="_xlcn.WorksheetConnection_Bike_Sales_Pivot_LabZheriwnBautista.xlsxProductClrSzTBL1" hidden="1">ProductClrSzTBL[]</definedName>
    <definedName name="_xlcn.WorksheetConnection_Bike_Sales_Pivot_LabZheriwnBautista.xlsxProductDescTBL1" hidden="1">ProductDescTBL[]</definedName>
  </definedNames>
  <calcPr calcId="191029"/>
  <pivotCaches>
    <pivotCache cacheId="0" r:id="rId11"/>
    <pivotCache cacheId="61" r:id="rId12"/>
  </pivotCaches>
  <extLst>
    <ext xmlns:x15="http://schemas.microsoft.com/office/spreadsheetml/2010/11/main" uri="{FCE2AD5D-F65C-4FA6-A056-5C36A1767C68}">
      <x15:dataModel>
        <x15:modelTables>
          <x15:modelTable id="ProductDescTBL" name="ProductDescTBL" connection="WorksheetConnection_Bike_Sales_Pivot_LabZheriwnBautista.xlsx!ProductDescTBL"/>
          <x15:modelTable id="ProductClrSzTBL" name="ProductClrSzTBL" connection="WorksheetConnection_Bike_Sales_Pivot_LabZheriwnBautista.xlsx!ProductClrSzTBL"/>
          <x15:modelTable id="LocationTBL" name="LocationTBL" connection="WorksheetConnection_Bike_Sales_Pivot_LabZheriwnBautista.xlsx!LocationTBL"/>
          <x15:modelTable id="CustomerAgeTBL" name="CustomerAgeTBL" connection="WorksheetConnection_Bike_Sales_Pivot_LabZheriwnBautista.xlsx!CustomerAgeTBL"/>
          <x15:modelTable id="CountryTBL" name="CountryTBL" connection="WorksheetConnection_Bike_Sales_Pivot_LabZheriwnBautista.xlsx!CountryTBL"/>
          <x15:modelTable id="ClientTBL" name="ClientTBL" connection="WorksheetConnection_Bike_Sales_Pivot_LabZheriwnBautista.xlsx!ClientTBL"/>
          <x15:modelTable id="BikeSalesTBL" name="BikeSalesTBL" connection="WorksheetConnection_Bike_Sales_Pivot_LabZheriwnBautista.xlsx!BikeSalesTBL"/>
          <x15:modelTable id="AgeGroupTBL" name="AgeGroupTBL" connection="WorksheetConnection_Bike_Sales_Pivot_LabZheriwnBautista.xlsx!AgeGroupTBL"/>
        </x15:modelTables>
        <x15:modelRelationships>
          <x15:modelRelationship fromTable="BikeSalesTBL" fromColumn="Customer_id" toTable="ClientTBL" toColumn="Customer_id"/>
          <x15:modelRelationship fromTable="BikeSalesTBL" fromColumn="Product_id" toTable="ProductClrSzTBL" toColumn="Product_id"/>
          <x15:modelRelationship fromTable="ClientTBL" fromColumn="Location_id" toTable="LocationTBL" toColumn="Location_id"/>
          <x15:modelRelationship fromTable="ClientTBL" fromColumn="Customer_Age_id" toTable="CustomerAgeTBL" toColumn="Customer_Age_id"/>
          <x15:modelRelationship fromTable="LocationTBL" fromColumn="Country_id" toTable="CountryTBL" toColumn="Country_id"/>
          <x15:modelRelationship fromTable="CustomerAgeTBL" fromColumn="Age_Group_id" toTable="AgeGroupTBL" toColumn="Age_Group_id"/>
          <x15:modelRelationship fromTable="ProductClrSzTBL" fromColumn="Product_Description_id" toTable="ProductDescTBL" toColumn="Product_Description_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9" i="2" l="1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" i="2"/>
  <c r="I2" i="2"/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570C17-F864-42E0-9B20-8227BAF7A40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37D0B47-D892-4CAE-AF62-DCFE24FB762B}" name="WorksheetConnection_Bike_Sales_Pivot_LabZheriwnBautista.xlsx!AgeGroupTBL" type="102" refreshedVersion="8" minRefreshableVersion="5">
    <extLst>
      <ext xmlns:x15="http://schemas.microsoft.com/office/spreadsheetml/2010/11/main" uri="{DE250136-89BD-433C-8126-D09CA5730AF9}">
        <x15:connection id="AgeGroupTBL">
          <x15:rangePr sourceName="_xlcn.WorksheetConnection_Bike_Sales_Pivot_LabZheriwnBautista.xlsxAgeGroupTBL1"/>
        </x15:connection>
      </ext>
    </extLst>
  </connection>
  <connection id="3" xr16:uid="{7221C45D-A2CB-4105-926C-3557492CF53C}" name="WorksheetConnection_Bike_Sales_Pivot_LabZheriwnBautista.xlsx!BikeSalesTBL" type="102" refreshedVersion="8" minRefreshableVersion="5">
    <extLst>
      <ext xmlns:x15="http://schemas.microsoft.com/office/spreadsheetml/2010/11/main" uri="{DE250136-89BD-433C-8126-D09CA5730AF9}">
        <x15:connection id="BikeSalesTBL">
          <x15:rangePr sourceName="_xlcn.WorksheetConnection_Bike_Sales_Pivot_LabZheriwnBautista.xlsxBikeSalesTBL1"/>
        </x15:connection>
      </ext>
    </extLst>
  </connection>
  <connection id="4" xr16:uid="{D7E5948F-08D4-45D3-9022-1E062FD81A18}" name="WorksheetConnection_Bike_Sales_Pivot_LabZheriwnBautista.xlsx!ClientTBL" type="102" refreshedVersion="8" minRefreshableVersion="5">
    <extLst>
      <ext xmlns:x15="http://schemas.microsoft.com/office/spreadsheetml/2010/11/main" uri="{DE250136-89BD-433C-8126-D09CA5730AF9}">
        <x15:connection id="ClientTBL">
          <x15:rangePr sourceName="_xlcn.WorksheetConnection_Bike_Sales_Pivot_LabZheriwnBautista.xlsxClientTBL1"/>
        </x15:connection>
      </ext>
    </extLst>
  </connection>
  <connection id="5" xr16:uid="{6F18C8CE-08B8-4E5F-8796-E5F0174861BC}" name="WorksheetConnection_Bike_Sales_Pivot_LabZheriwnBautista.xlsx!CountryTBL" type="102" refreshedVersion="8" minRefreshableVersion="5">
    <extLst>
      <ext xmlns:x15="http://schemas.microsoft.com/office/spreadsheetml/2010/11/main" uri="{DE250136-89BD-433C-8126-D09CA5730AF9}">
        <x15:connection id="CountryTBL">
          <x15:rangePr sourceName="_xlcn.WorksheetConnection_Bike_Sales_Pivot_LabZheriwnBautista.xlsxCountryTBL1"/>
        </x15:connection>
      </ext>
    </extLst>
  </connection>
  <connection id="6" xr16:uid="{07107139-5CC4-4D4B-9581-A32629B6CB4D}" name="WorksheetConnection_Bike_Sales_Pivot_LabZheriwnBautista.xlsx!CustomerAgeTBL" type="102" refreshedVersion="8" minRefreshableVersion="5">
    <extLst>
      <ext xmlns:x15="http://schemas.microsoft.com/office/spreadsheetml/2010/11/main" uri="{DE250136-89BD-433C-8126-D09CA5730AF9}">
        <x15:connection id="CustomerAgeTBL">
          <x15:rangePr sourceName="_xlcn.WorksheetConnection_Bike_Sales_Pivot_LabZheriwnBautista.xlsxCustomerAgeTBL1"/>
        </x15:connection>
      </ext>
    </extLst>
  </connection>
  <connection id="7" xr16:uid="{620B1C52-570F-44F0-A54B-6F3B257E2B78}" name="WorksheetConnection_Bike_Sales_Pivot_LabZheriwnBautista.xlsx!LocationTBL" type="102" refreshedVersion="8" minRefreshableVersion="5">
    <extLst>
      <ext xmlns:x15="http://schemas.microsoft.com/office/spreadsheetml/2010/11/main" uri="{DE250136-89BD-433C-8126-D09CA5730AF9}">
        <x15:connection id="LocationTBL">
          <x15:rangePr sourceName="_xlcn.WorksheetConnection_Bike_Sales_Pivot_LabZheriwnBautista.xlsxLocationTBL1"/>
        </x15:connection>
      </ext>
    </extLst>
  </connection>
  <connection id="8" xr16:uid="{A90CA636-56B3-4D6D-8898-51A053926E24}" name="WorksheetConnection_Bike_Sales_Pivot_LabZheriwnBautista.xlsx!ProductClrSzTBL" type="102" refreshedVersion="8" minRefreshableVersion="5">
    <extLst>
      <ext xmlns:x15="http://schemas.microsoft.com/office/spreadsheetml/2010/11/main" uri="{DE250136-89BD-433C-8126-D09CA5730AF9}">
        <x15:connection id="ProductClrSzTBL">
          <x15:rangePr sourceName="_xlcn.WorksheetConnection_Bike_Sales_Pivot_LabZheriwnBautista.xlsxProductClrSzTBL1"/>
        </x15:connection>
      </ext>
    </extLst>
  </connection>
  <connection id="9" xr16:uid="{775CD0E3-6095-4A8C-BC2C-FCD63E0D84E6}" name="WorksheetConnection_Bike_Sales_Pivot_LabZheriwnBautista.xlsx!ProductDescTBL" type="102" refreshedVersion="8" minRefreshableVersion="5">
    <extLst>
      <ext xmlns:x15="http://schemas.microsoft.com/office/spreadsheetml/2010/11/main" uri="{DE250136-89BD-433C-8126-D09CA5730AF9}">
        <x15:connection id="ProductDescTBL">
          <x15:rangePr sourceName="_xlcn.WorksheetConnection_Bike_Sales_Pivot_LabZheriwnBautista.xlsxProductDescTBL1"/>
        </x15:connection>
      </ext>
    </extLst>
  </connection>
</connections>
</file>

<file path=xl/sharedStrings.xml><?xml version="1.0" encoding="utf-8"?>
<sst xmlns="http://schemas.openxmlformats.org/spreadsheetml/2006/main" count="1646" uniqueCount="330">
  <si>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</si>
  <si>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</si>
  <si>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</si>
  <si>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</si>
  <si>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</si>
  <si>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</si>
  <si>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</si>
  <si>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</si>
  <si>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</si>
  <si>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</si>
  <si>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</si>
  <si>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</si>
  <si>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</si>
  <si>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</si>
  <si>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</si>
  <si>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</si>
  <si>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</si>
  <si>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</si>
  <si>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</si>
  <si>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</si>
  <si>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</si>
  <si>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</si>
  <si>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</si>
  <si>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</si>
  <si>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</si>
  <si>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</si>
  <si>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</si>
  <si>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</si>
  <si>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</si>
  <si>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</si>
  <si>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</si>
  <si>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</si>
  <si>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</si>
  <si>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</si>
  <si>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</si>
  <si>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</si>
  <si>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</si>
  <si>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</si>
  <si>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</si>
  <si>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</si>
  <si>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</si>
  <si>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</si>
  <si>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</si>
  <si>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</si>
  <si>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</si>
  <si>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</si>
  <si>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</si>
  <si>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</si>
  <si>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</si>
  <si>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</si>
  <si>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</si>
  <si>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</si>
  <si>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</si>
  <si>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</si>
  <si>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</si>
  <si>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</si>
  <si>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</si>
  <si>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</si>
  <si>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</si>
  <si>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</si>
  <si>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</si>
  <si>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</si>
  <si>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</si>
  <si>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</si>
  <si>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</si>
  <si>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</si>
  <si>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</si>
  <si>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</si>
  <si>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</si>
  <si>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</si>
  <si>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</si>
  <si>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</si>
  <si>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</si>
  <si>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</si>
  <si>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</si>
  <si>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</si>
  <si>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</si>
  <si>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</si>
  <si>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</si>
  <si>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</si>
  <si>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</si>
  <si>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</si>
  <si>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</si>
  <si>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</si>
  <si>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</si>
  <si>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</si>
  <si>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</si>
  <si>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</si>
  <si>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</si>
  <si>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</si>
  <si>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</si>
  <si>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</si>
  <si>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</si>
  <si>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</si>
  <si>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</si>
  <si>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</si>
  <si>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</si>
  <si>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</si>
  <si>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</si>
  <si>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</si>
  <si>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</si>
  <si>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</si>
  <si>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</si>
  <si>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</si>
  <si>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</si>
  <si>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</si>
  <si>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</si>
  <si>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</si>
  <si>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</si>
  <si>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</si>
  <si>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</si>
  <si>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</si>
  <si>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</si>
  <si>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</si>
  <si>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</si>
  <si>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</si>
  <si>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</si>
  <si>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</si>
  <si>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</si>
  <si>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</si>
  <si>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</si>
  <si>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</si>
  <si>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</si>
  <si>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</si>
  <si>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</si>
  <si>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</si>
  <si>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</si>
  <si>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</si>
  <si>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</si>
  <si>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</si>
  <si>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</si>
  <si>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</si>
  <si>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</si>
  <si>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</si>
  <si>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</si>
  <si>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</si>
  <si>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</si>
  <si>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</si>
  <si>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</si>
  <si>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</si>
  <si>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</si>
  <si>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</si>
  <si>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</si>
  <si>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</si>
  <si>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</si>
  <si>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</si>
  <si>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</si>
  <si>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</si>
  <si>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</si>
  <si>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</si>
  <si>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</si>
  <si>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</si>
  <si>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</si>
  <si>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</si>
  <si>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</si>
  <si>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</si>
  <si>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</si>
  <si>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</si>
  <si>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</si>
  <si>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</si>
  <si>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</si>
  <si>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</si>
  <si>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</si>
  <si>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</si>
  <si>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</si>
  <si>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Size</t>
  </si>
  <si>
    <t>Row Labels</t>
  </si>
  <si>
    <t>Grand Total</t>
  </si>
  <si>
    <t>Sum of Order_Quantity</t>
  </si>
  <si>
    <t>Column Labels</t>
  </si>
  <si>
    <t>Age_Group_id</t>
  </si>
  <si>
    <t>AG-101</t>
  </si>
  <si>
    <t>AG-102</t>
  </si>
  <si>
    <t>AG-103</t>
  </si>
  <si>
    <t>Country_id</t>
  </si>
  <si>
    <t>Ct-101</t>
  </si>
  <si>
    <t>Ct-102</t>
  </si>
  <si>
    <t>Ct-103</t>
  </si>
  <si>
    <t>Ct-104</t>
  </si>
  <si>
    <t>Ct-105</t>
  </si>
  <si>
    <t>Ct-106</t>
  </si>
  <si>
    <t>Location_id</t>
  </si>
  <si>
    <t>L-101</t>
  </si>
  <si>
    <t>L-102</t>
  </si>
  <si>
    <t>L-103</t>
  </si>
  <si>
    <t>L-104</t>
  </si>
  <si>
    <t>L-105</t>
  </si>
  <si>
    <t>L-106</t>
  </si>
  <si>
    <t>L-107</t>
  </si>
  <si>
    <t>L-108</t>
  </si>
  <si>
    <t>L-109</t>
  </si>
  <si>
    <t>L-110</t>
  </si>
  <si>
    <t>L-111</t>
  </si>
  <si>
    <t>L-112</t>
  </si>
  <si>
    <t>L-113</t>
  </si>
  <si>
    <t>L-114</t>
  </si>
  <si>
    <t>L-115</t>
  </si>
  <si>
    <t>L-116</t>
  </si>
  <si>
    <t>L-117</t>
  </si>
  <si>
    <t>L-118</t>
  </si>
  <si>
    <t>L-119</t>
  </si>
  <si>
    <t>Customer_Age_id</t>
  </si>
  <si>
    <t>Cg-101</t>
  </si>
  <si>
    <t>Cg-102</t>
  </si>
  <si>
    <t>Cg-103</t>
  </si>
  <si>
    <t>Cg-104</t>
  </si>
  <si>
    <t>Cg-105</t>
  </si>
  <si>
    <t>Cg-106</t>
  </si>
  <si>
    <t>Cg-107</t>
  </si>
  <si>
    <t>Cg-108</t>
  </si>
  <si>
    <t>Cg-109</t>
  </si>
  <si>
    <t>Cg-110</t>
  </si>
  <si>
    <t>Cg-111</t>
  </si>
  <si>
    <t>Cg-112</t>
  </si>
  <si>
    <t>Cg-113</t>
  </si>
  <si>
    <t>Cg-114</t>
  </si>
  <si>
    <t>Cg-115</t>
  </si>
  <si>
    <t>Cg-116</t>
  </si>
  <si>
    <t>Cg-117</t>
  </si>
  <si>
    <t>Cg-118</t>
  </si>
  <si>
    <t>Cg-119</t>
  </si>
  <si>
    <t>Cg-120</t>
  </si>
  <si>
    <t>Cg-121</t>
  </si>
  <si>
    <t>Cg-122</t>
  </si>
  <si>
    <t>Cg-123</t>
  </si>
  <si>
    <t>Cg-124</t>
  </si>
  <si>
    <t>Cg-125</t>
  </si>
  <si>
    <t>Cg-126</t>
  </si>
  <si>
    <t>Cg-127</t>
  </si>
  <si>
    <t>Cg-128</t>
  </si>
  <si>
    <t>Customer_id</t>
  </si>
  <si>
    <t>Cl-101</t>
  </si>
  <si>
    <t>Cl-102</t>
  </si>
  <si>
    <t>Cl-103</t>
  </si>
  <si>
    <t>Cl-104</t>
  </si>
  <si>
    <t>Cl-105</t>
  </si>
  <si>
    <t>Cl-106</t>
  </si>
  <si>
    <t>Cl-107</t>
  </si>
  <si>
    <t>Cl-108</t>
  </si>
  <si>
    <t>Cl-109</t>
  </si>
  <si>
    <t>Cl-110</t>
  </si>
  <si>
    <t>Cl-111</t>
  </si>
  <si>
    <t>Cl-112</t>
  </si>
  <si>
    <t>Cl-113</t>
  </si>
  <si>
    <t>Cl-114</t>
  </si>
  <si>
    <t>Cl-115</t>
  </si>
  <si>
    <t>Cl-116</t>
  </si>
  <si>
    <t>Cl-117</t>
  </si>
  <si>
    <t>Cl-118</t>
  </si>
  <si>
    <t>Cl-119</t>
  </si>
  <si>
    <t>Cl-120</t>
  </si>
  <si>
    <t>Cl-121</t>
  </si>
  <si>
    <t>Cl-122</t>
  </si>
  <si>
    <t>Cl-123</t>
  </si>
  <si>
    <t>Cl-124</t>
  </si>
  <si>
    <t>Cl-125</t>
  </si>
  <si>
    <t>Cl-126</t>
  </si>
  <si>
    <t>Cl-127</t>
  </si>
  <si>
    <t>Cl-128</t>
  </si>
  <si>
    <t>Cl-129</t>
  </si>
  <si>
    <t>Cl-130</t>
  </si>
  <si>
    <t>Cl-131</t>
  </si>
  <si>
    <t>Cl-132</t>
  </si>
  <si>
    <t>Cl-133</t>
  </si>
  <si>
    <t>Cl-134</t>
  </si>
  <si>
    <t>Cl-135</t>
  </si>
  <si>
    <t>Cl-136</t>
  </si>
  <si>
    <t>Cl-137</t>
  </si>
  <si>
    <t>Cl-138</t>
  </si>
  <si>
    <t>Cl-139</t>
  </si>
  <si>
    <t>Cl-140</t>
  </si>
  <si>
    <t>Cl-141</t>
  </si>
  <si>
    <t>Cl-142</t>
  </si>
  <si>
    <t>Cl-143</t>
  </si>
  <si>
    <t>Cl-144</t>
  </si>
  <si>
    <t>Cl-145</t>
  </si>
  <si>
    <t>Cl-146</t>
  </si>
  <si>
    <t>Cl-147</t>
  </si>
  <si>
    <t>Cl-148</t>
  </si>
  <si>
    <t>Cl-149</t>
  </si>
  <si>
    <t>Cl-150</t>
  </si>
  <si>
    <t>Cl-151</t>
  </si>
  <si>
    <t>Cl-152</t>
  </si>
  <si>
    <t>Cl-153</t>
  </si>
  <si>
    <t>Cl-154</t>
  </si>
  <si>
    <t>Cl-155</t>
  </si>
  <si>
    <t>Cl-156</t>
  </si>
  <si>
    <t>Cl-157</t>
  </si>
  <si>
    <t>Cl-158</t>
  </si>
  <si>
    <t>Cl-159</t>
  </si>
  <si>
    <t>Cl-160</t>
  </si>
  <si>
    <t>Cl-161</t>
  </si>
  <si>
    <t>Cl-162</t>
  </si>
  <si>
    <t>Cl-163</t>
  </si>
  <si>
    <t>Cl-164</t>
  </si>
  <si>
    <t>Cl-165</t>
  </si>
  <si>
    <t>Cl-166</t>
  </si>
  <si>
    <t>Cl-167</t>
  </si>
  <si>
    <t>Cl-168</t>
  </si>
  <si>
    <t>Cl-169</t>
  </si>
  <si>
    <t>Cl-170</t>
  </si>
  <si>
    <t>Cl-171</t>
  </si>
  <si>
    <t>Cl-172</t>
  </si>
  <si>
    <t>Cl-173</t>
  </si>
  <si>
    <t>Cl-174</t>
  </si>
  <si>
    <t>Product_Description_id</t>
  </si>
  <si>
    <t>Pd-101</t>
  </si>
  <si>
    <t>Pd-102</t>
  </si>
  <si>
    <t>Pd-103</t>
  </si>
  <si>
    <t>Pd-104</t>
  </si>
  <si>
    <t>Product_id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</si>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</sst>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9" fillId="0" borderId="0" xfId="0" applyFont="1"/>
    <xf numFmtId="0" fontId="0" fillId="0" borderId="0" xfId="0" applyAlignment="1">
      <alignment horizontal="left"/>
    </xf>
    <xf numFmtId="0" fontId="16" fillId="33" borderId="0" xfId="0" applyFont="1" applyFill="1"/>
    <xf numFmtId="0" fontId="16" fillId="33" borderId="0" xfId="0" applyFont="1" applyFill="1" applyAlignment="1">
      <alignment horizontal="left"/>
    </xf>
    <xf numFmtId="0" fontId="20" fillId="33" borderId="0" xfId="0" applyFont="1" applyFill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numFmt numFmtId="19" formatCode="m/d/yyyy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alignment horizontal="center" readingOrder="0"/>
    </dxf>
    <dxf>
      <alignment horizontal="left" readingOrder="0"/>
    </dxf>
    <dxf>
      <alignment vertical="top" readingOrder="0"/>
    </dxf>
    <dxf>
      <alignment vertical="bottom" readingOrder="0"/>
    </dxf>
    <dxf>
      <alignment vertic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26" Type="http://schemas.openxmlformats.org/officeDocument/2006/relationships/customXml" Target="../customXml/item8.xml"/><Relationship Id="rId39" Type="http://schemas.openxmlformats.org/officeDocument/2006/relationships/customXml" Target="../customXml/item21.xml"/><Relationship Id="rId21" Type="http://schemas.openxmlformats.org/officeDocument/2006/relationships/customXml" Target="../customXml/item3.xml"/><Relationship Id="rId34" Type="http://schemas.openxmlformats.org/officeDocument/2006/relationships/customXml" Target="../customXml/item16.xml"/><Relationship Id="rId42" Type="http://schemas.openxmlformats.org/officeDocument/2006/relationships/customXml" Target="../customXml/item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29" Type="http://schemas.openxmlformats.org/officeDocument/2006/relationships/customXml" Target="../customXml/item11.xml"/><Relationship Id="rId41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6.xml"/><Relationship Id="rId32" Type="http://schemas.openxmlformats.org/officeDocument/2006/relationships/customXml" Target="../customXml/item14.xml"/><Relationship Id="rId37" Type="http://schemas.openxmlformats.org/officeDocument/2006/relationships/customXml" Target="../customXml/item19.xml"/><Relationship Id="rId40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28" Type="http://schemas.openxmlformats.org/officeDocument/2006/relationships/customXml" Target="../customXml/item10.xml"/><Relationship Id="rId36" Type="http://schemas.openxmlformats.org/officeDocument/2006/relationships/customXml" Target="../customXml/item18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31" Type="http://schemas.openxmlformats.org/officeDocument/2006/relationships/customXml" Target="../customXml/item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Relationship Id="rId27" Type="http://schemas.openxmlformats.org/officeDocument/2006/relationships/customXml" Target="../customXml/item9.xml"/><Relationship Id="rId30" Type="http://schemas.openxmlformats.org/officeDocument/2006/relationships/customXml" Target="../customXml/item12.xml"/><Relationship Id="rId35" Type="http://schemas.openxmlformats.org/officeDocument/2006/relationships/customXml" Target="../customXml/item17.xml"/><Relationship Id="rId43" Type="http://schemas.openxmlformats.org/officeDocument/2006/relationships/customXml" Target="../customXml/item2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powerPivotData" Target="model/item.data"/><Relationship Id="rId25" Type="http://schemas.openxmlformats.org/officeDocument/2006/relationships/customXml" Target="../customXml/item7.xml"/><Relationship Id="rId33" Type="http://schemas.openxmlformats.org/officeDocument/2006/relationships/customXml" Target="../customXml/item15.xml"/><Relationship Id="rId38" Type="http://schemas.openxmlformats.org/officeDocument/2006/relationships/customXml" Target="../customXml/item2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[Bike_Sales_Pivot_LabZheriwnBautista.xlsx]PivotTable!PivotTable1</c:name>
    <c:fmtId val="4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PivotTable!$B$3:$B$4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PivotTable!$A$5:$A$14</c:f>
              <c:multiLvlStrCache>
                <c:ptCount val="6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PivotTable!$B$5:$B$14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83-4B4D-8B85-17FFF3AF14F5}"/>
            </c:ext>
          </c:extLst>
        </c:ser>
        <c:ser>
          <c:idx val="1"/>
          <c:order val="1"/>
          <c:tx>
            <c:strRef>
              <c:f>PivotTable!$C$3:$C$4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PivotTable!$A$5:$A$14</c:f>
              <c:multiLvlStrCache>
                <c:ptCount val="6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PivotTable!$C$5:$C$14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83-4B4D-8B85-17FFF3AF14F5}"/>
            </c:ext>
          </c:extLst>
        </c:ser>
        <c:ser>
          <c:idx val="2"/>
          <c:order val="2"/>
          <c:tx>
            <c:strRef>
              <c:f>PivotTable!$D$3:$D$4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PivotTable!$A$5:$A$14</c:f>
              <c:multiLvlStrCache>
                <c:ptCount val="6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PivotTable!$D$5:$D$14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83-4B4D-8B85-17FFF3AF14F5}"/>
            </c:ext>
          </c:extLst>
        </c:ser>
        <c:ser>
          <c:idx val="3"/>
          <c:order val="3"/>
          <c:tx>
            <c:strRef>
              <c:f>PivotTable!$E$3:$E$4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PivotTable!$A$5:$A$14</c:f>
              <c:multiLvlStrCache>
                <c:ptCount val="6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PivotTable!$E$5:$E$14</c:f>
              <c:numCache>
                <c:formatCode>General</c:formatCode>
                <c:ptCount val="6"/>
                <c:pt idx="0">
                  <c:v>5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383-4B4D-8B85-17FFF3AF14F5}"/>
            </c:ext>
          </c:extLst>
        </c:ser>
        <c:ser>
          <c:idx val="4"/>
          <c:order val="4"/>
          <c:tx>
            <c:strRef>
              <c:f>PivotTable!$F$3:$F$4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PivotTable!$A$5:$A$14</c:f>
              <c:multiLvlStrCache>
                <c:ptCount val="6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PivotTable!$F$5:$F$14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83-4B4D-8B85-17FFF3AF14F5}"/>
            </c:ext>
          </c:extLst>
        </c:ser>
        <c:ser>
          <c:idx val="5"/>
          <c:order val="5"/>
          <c:tx>
            <c:strRef>
              <c:f>PivotTable!$G$3:$G$4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PivotTable!$A$5:$A$14</c:f>
              <c:multiLvlStrCache>
                <c:ptCount val="6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PivotTable!$G$5:$G$14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1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83-4B4D-8B85-17FFF3AF14F5}"/>
            </c:ext>
          </c:extLst>
        </c:ser>
        <c:ser>
          <c:idx val="6"/>
          <c:order val="6"/>
          <c:tx>
            <c:strRef>
              <c:f>PivotTable!$H$3:$H$4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PivotTable!$A$5:$A$14</c:f>
              <c:multiLvlStrCache>
                <c:ptCount val="6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PivotTable!$H$5:$H$14</c:f>
              <c:numCache>
                <c:formatCode>General</c:formatCode>
                <c:ptCount val="6"/>
                <c:pt idx="0">
                  <c:v>20</c:v>
                </c:pt>
                <c:pt idx="1">
                  <c:v>27</c:v>
                </c:pt>
                <c:pt idx="2">
                  <c:v>6</c:v>
                </c:pt>
                <c:pt idx="3">
                  <c:v>10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83-4B4D-8B85-17FFF3AF14F5}"/>
            </c:ext>
          </c:extLst>
        </c:ser>
        <c:ser>
          <c:idx val="7"/>
          <c:order val="7"/>
          <c:tx>
            <c:strRef>
              <c:f>PivotTable!$I$3:$I$4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PivotTable!$A$5:$A$14</c:f>
              <c:multiLvlStrCache>
                <c:ptCount val="6"/>
                <c:lvl>
                  <c:pt idx="0">
                    <c:v>M</c:v>
                  </c:pt>
                  <c:pt idx="1">
                    <c:v>F</c:v>
                  </c:pt>
                  <c:pt idx="2">
                    <c:v>M</c:v>
                  </c:pt>
                  <c:pt idx="3">
                    <c:v>F</c:v>
                  </c:pt>
                  <c:pt idx="4">
                    <c:v>M</c:v>
                  </c:pt>
                  <c:pt idx="5">
                    <c:v>F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PivotTable!$I$5:$I$14</c:f>
              <c:numCache>
                <c:formatCode>General</c:formatCode>
                <c:ptCount val="6"/>
                <c:pt idx="0">
                  <c:v>15</c:v>
                </c:pt>
                <c:pt idx="1">
                  <c:v>17</c:v>
                </c:pt>
                <c:pt idx="2">
                  <c:v>3</c:v>
                </c:pt>
                <c:pt idx="3">
                  <c:v>17</c:v>
                </c:pt>
                <c:pt idx="4">
                  <c:v>2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383-4B4D-8B85-17FFF3AF1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88537440"/>
        <c:axId val="2088537856"/>
      </c:barChart>
      <c:catAx>
        <c:axId val="208853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37856"/>
        <c:crosses val="autoZero"/>
        <c:auto val="1"/>
        <c:lblAlgn val="ctr"/>
        <c:lblOffset val="100"/>
        <c:noMultiLvlLbl val="0"/>
      </c:catAx>
      <c:valAx>
        <c:axId val="208853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8537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[Bike_Sales_Pivot_LabZheriwnBautista.xlsx]PivotTable!PivotTable2</c:name>
    <c:fmtId val="4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 Profitable Martket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PivotTable!$A$19:$A$36</c:f>
              <c:multiLvlStrCache>
                <c:ptCount val="6"/>
                <c:lvl>
                  <c:pt idx="0">
                    <c:v>F</c:v>
                  </c:pt>
                  <c:pt idx="1">
                    <c:v>F</c:v>
                  </c:pt>
                  <c:pt idx="2">
                    <c:v>F</c:v>
                  </c:pt>
                  <c:pt idx="3">
                    <c:v>F</c:v>
                  </c:pt>
                  <c:pt idx="4">
                    <c:v>M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1">
                    <c:v>Young Adults (25-34)</c:v>
                  </c:pt>
                  <c:pt idx="2">
                    <c:v>Youth (&lt;25)</c:v>
                  </c:pt>
                  <c:pt idx="3">
                    <c:v>Adults (35-64)</c:v>
                  </c:pt>
                  <c:pt idx="4">
                    <c:v>Adults (35-64)</c:v>
                  </c:pt>
                  <c:pt idx="5">
                    <c:v>Adults (35-64)</c:v>
                  </c:pt>
                </c:lvl>
                <c:lvl>
                  <c:pt idx="0">
                    <c:v>United Kingdom</c:v>
                  </c:pt>
                  <c:pt idx="1">
                    <c:v>Canada</c:v>
                  </c:pt>
                  <c:pt idx="2">
                    <c:v>France</c:v>
                  </c:pt>
                  <c:pt idx="3">
                    <c:v>Germany</c:v>
                  </c:pt>
                  <c:pt idx="4">
                    <c:v>United States</c:v>
                  </c:pt>
                  <c:pt idx="5">
                    <c:v>Australia</c:v>
                  </c:pt>
                </c:lvl>
              </c:multiLvlStrCache>
            </c:multiLvlStrRef>
          </c:cat>
          <c:val>
            <c:numRef>
              <c:f>PivotTable!$B$19:$B$36</c:f>
              <c:numCache>
                <c:formatCode>General</c:formatCode>
                <c:ptCount val="6"/>
                <c:pt idx="0">
                  <c:v>4615</c:v>
                </c:pt>
                <c:pt idx="1">
                  <c:v>16114</c:v>
                </c:pt>
                <c:pt idx="2">
                  <c:v>16140</c:v>
                </c:pt>
                <c:pt idx="3">
                  <c:v>21245</c:v>
                </c:pt>
                <c:pt idx="4">
                  <c:v>42278</c:v>
                </c:pt>
                <c:pt idx="5">
                  <c:v>69925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3-4727-92C0-B4E873B1E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654448"/>
        <c:axId val="286643888"/>
      </c:barChart>
      <c:catAx>
        <c:axId val="286654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643888"/>
        <c:crosses val="autoZero"/>
        <c:auto val="1"/>
        <c:lblAlgn val="ctr"/>
        <c:lblOffset val="100"/>
        <c:noMultiLvlLbl val="0"/>
      </c:catAx>
      <c:valAx>
        <c:axId val="28664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65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38099</xdr:colOff>
      <xdr:row>2</xdr:row>
      <xdr:rowOff>123825</xdr:rowOff>
    </xdr:from>
    <xdr:to>
      <xdr:col>18</xdr:col>
      <xdr:colOff>342899</xdr:colOff>
      <xdr:row>17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13607</xdr:colOff>
      <xdr:row>15</xdr:row>
      <xdr:rowOff>27215</xdr:rowOff>
    </xdr:from>
    <xdr:to>
      <xdr:col>8</xdr:col>
      <xdr:colOff>381001</xdr:colOff>
      <xdr:row>30</xdr:row>
      <xdr:rowOff>163287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8C7827-BF34-DC34-C6E3-BA54C3394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MLAB" refreshedDate="46073.736888078703" createdVersion="6" refreshedVersion="6" minRefreshableVersion="3" recordCount="88" xr:uid="{00000000-000A-0000-FFFF-FFFF0E000000}">
  <cacheSource type="worksheet">
    <worksheetSource ref="A1:J89" sheet="Bike_Sales_fact"/>
  </cacheSource>
  <cacheFields count="21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Color" numFmtId="0">
      <sharedItems/>
    </cacheField>
    <cacheField name="Size" numFmtId="0">
      <sharedItems containsSemiMixedTypes="0" containsString="0" containsNumber="1" containsInteger="1" minValue="38" maxValue="52"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istrator" refreshedDate="46079.018080787035" backgroundQuery="1" createdVersion="8" refreshedVersion="8" minRefreshableVersion="3" recordCount="0" supportSubquery="1" supportAdvancedDrill="1" xr:uid="{36EBC686-1576-4422-89CA-D63CFB48E788}">
  <cacheSource type="external" connectionId="1"/>
  <cacheFields count="4">
    <cacheField name="[ClientTBL].[Customer_Gender].[Customer_Gender]" caption="Customer_Gender" numFmtId="0" hierarchy="13" level="1">
      <sharedItems count="2">
        <s v="M"/>
        <s v="F"/>
      </sharedItems>
    </cacheField>
    <cacheField name="[CountryTBL].[Country].[Country]" caption="Country" numFmtId="0" hierarchy="16" level="1">
      <sharedItems count="6">
        <s v="Australia"/>
        <s v="Canada"/>
        <s v="France"/>
        <s v="Germany"/>
        <s v="United Kingdom"/>
        <s v="United States"/>
      </sharedItems>
    </cacheField>
    <cacheField name="[AgeGroupTBL].[Age_Group].[Age_Group]" caption="Age_Group" numFmtId="0" level="1">
      <sharedItems count="3">
        <s v="Adults (35-64)"/>
        <s v="Young Adults (25-34)"/>
        <s v="Youth (&lt;25)"/>
      </sharedItems>
    </cacheField>
    <cacheField name="[Measures].[Sum of Revenue]" caption="Sum of Revenue" numFmtId="0" hierarchy="45" level="32767"/>
  </cacheFields>
  <cacheHierarchies count="46">
    <cacheHierarchy uniqueName="[AgeGroupTBL].[Age_Group]" caption="Age_Group" attribute="1" defaultMemberUniqueName="[AgeGroupTBL].[Age_Group].[All]" allUniqueName="[AgeGroupTBL].[Age_Group].[All]" dimensionUniqueName="[AgeGroupTBL]" displayFolder="" count="2" memberValueDatatype="130" unbalanced="0">
      <fieldsUsage count="2">
        <fieldUsage x="-1"/>
        <fieldUsage x="2"/>
      </fieldsUsage>
    </cacheHierarchy>
    <cacheHierarchy uniqueName="[AgeGroupTBL].[Age_Group_id]" caption="Age_Group_id" attribute="1" defaultMemberUniqueName="[AgeGroupTBL].[Age_Group_id].[All]" allUniqueName="[AgeGroupTBL].[Age_Group_id].[All]" dimensionUniqueName="[AgeGroupTBL]" displayFolder="" count="0" memberValueDatatype="130" unbalanced="0"/>
    <cacheHierarchy uniqueName="[BikeSalesTBL].[Sales_Order #]" caption="Sales_Order #" attribute="1" defaultMemberUniqueName="[BikeSalesTBL].[Sales_Order #].[All]" allUniqueName="[BikeSalesTBL].[Sales_Order #].[All]" dimensionUniqueName="[BikeSalesTBL]" displayFolder="" count="2" memberValueDatatype="130" unbalanced="0"/>
    <cacheHierarchy uniqueName="[BikeSalesTBL].[Date]" caption="Date" attribute="1" time="1" defaultMemberUniqueName="[BikeSalesTBL].[Date].[All]" allUniqueName="[BikeSalesTBL].[Date].[All]" dimensionUniqueName="[BikeSalesTBL]" displayFolder="" count="0" memberValueDatatype="7" unbalanced="0"/>
    <cacheHierarchy uniqueName="[BikeSalesTBL].[Customer_id]" caption="Customer_id" attribute="1" defaultMemberUniqueName="[BikeSalesTBL].[Customer_id].[All]" allUniqueName="[BikeSalesTBL].[Customer_id].[All]" dimensionUniqueName="[BikeSalesTBL]" displayFolder="" count="0" memberValueDatatype="130" unbalanced="0"/>
    <cacheHierarchy uniqueName="[BikeSalesTBL].[Product_id]" caption="Product_id" attribute="1" defaultMemberUniqueName="[BikeSalesTBL].[Product_id].[All]" allUniqueName="[BikeSalesTBL].[Product_id].[All]" dimensionUniqueName="[BikeSalesTBL]" displayFolder="" count="0" memberValueDatatype="130" unbalanced="0"/>
    <cacheHierarchy uniqueName="[BikeSalesTBL].[Order_Quantity]" caption="Order_Quantity" attribute="1" defaultMemberUniqueName="[BikeSalesTBL].[Order_Quantity].[All]" allUniqueName="[BikeSalesTBL].[Order_Quantity].[All]" dimensionUniqueName="[BikeSalesTBL]" displayFolder="" count="0" memberValueDatatype="20" unbalanced="0"/>
    <cacheHierarchy uniqueName="[BikeSalesTBL].[Unit_Cost]" caption="Unit_Cost" attribute="1" defaultMemberUniqueName="[BikeSalesTBL].[Unit_Cost].[All]" allUniqueName="[BikeSalesTBL].[Unit_Cost].[All]" dimensionUniqueName="[BikeSalesTBL]" displayFolder="" count="0" memberValueDatatype="20" unbalanced="0"/>
    <cacheHierarchy uniqueName="[BikeSalesTBL].[Unit_Price]" caption="Unit_Price" attribute="1" defaultMemberUniqueName="[BikeSalesTBL].[Unit_Price].[All]" allUniqueName="[BikeSalesTBL].[Unit_Price].[All]" dimensionUniqueName="[BikeSalesTBL]" displayFolder="" count="0" memberValueDatatype="20" unbalanced="0"/>
    <cacheHierarchy uniqueName="[BikeSalesTBL].[Profit]" caption="Profit" attribute="1" defaultMemberUniqueName="[BikeSalesTBL].[Profit].[All]" allUniqueName="[BikeSalesTBL].[Profit].[All]" dimensionUniqueName="[BikeSalesTBL]" displayFolder="" count="0" memberValueDatatype="20" unbalanced="0"/>
    <cacheHierarchy uniqueName="[BikeSalesTBL].[Cost]" caption="Cost" attribute="1" defaultMemberUniqueName="[BikeSalesTBL].[Cost].[All]" allUniqueName="[BikeSalesTBL].[Cost].[All]" dimensionUniqueName="[BikeSalesTBL]" displayFolder="" count="0" memberValueDatatype="20" unbalanced="0"/>
    <cacheHierarchy uniqueName="[BikeSalesTBL].[Revenue]" caption="Revenue" attribute="1" defaultMemberUniqueName="[BikeSalesTBL].[Revenue].[All]" allUniqueName="[BikeSalesTBL].[Revenue].[All]" dimensionUniqueName="[BikeSalesTBL]" displayFolder="" count="0" memberValueDatatype="20" unbalanced="0"/>
    <cacheHierarchy uniqueName="[ClientTBL].[Customer_Age_id]" caption="Customer_Age_id" attribute="1" defaultMemberUniqueName="[ClientTBL].[Customer_Age_id].[All]" allUniqueName="[ClientTBL].[Customer_Age_id].[All]" dimensionUniqueName="[ClientTBL]" displayFolder="" count="0" memberValueDatatype="130" unbalanced="0"/>
    <cacheHierarchy uniqueName="[ClientTBL].[Customer_Gender]" caption="Customer_Gender" attribute="1" defaultMemberUniqueName="[ClientTBL].[Customer_Gender].[All]" allUniqueName="[ClientTBL].[Customer_Gender].[All]" dimensionUniqueName="[ClientTBL]" displayFolder="" count="2" memberValueDatatype="130" unbalanced="0">
      <fieldsUsage count="2">
        <fieldUsage x="-1"/>
        <fieldUsage x="0"/>
      </fieldsUsage>
    </cacheHierarchy>
    <cacheHierarchy uniqueName="[ClientTBL].[Location_id]" caption="Location_id" attribute="1" defaultMemberUniqueName="[ClientTBL].[Location_id].[All]" allUniqueName="[ClientTBL].[Location_id].[All]" dimensionUniqueName="[ClientTBL]" displayFolder="" count="0" memberValueDatatype="130" unbalanced="0"/>
    <cacheHierarchy uniqueName="[ClientTBL].[Customer_id]" caption="Customer_id" attribute="1" defaultMemberUniqueName="[ClientTBL].[Customer_id].[All]" allUniqueName="[ClientTBL].[Customer_id].[All]" dimensionUniqueName="[ClientTBL]" displayFolder="" count="0" memberValueDatatype="130" unbalanced="0"/>
    <cacheHierarchy uniqueName="[CountryTBL].[Country]" caption="Country" attribute="1" defaultMemberUniqueName="[CountryTBL].[Country].[All]" allUniqueName="[CountryTBL].[Country].[All]" dimensionUniqueName="[CountryTBL]" displayFolder="" count="2" memberValueDatatype="130" unbalanced="0">
      <fieldsUsage count="2">
        <fieldUsage x="-1"/>
        <fieldUsage x="1"/>
      </fieldsUsage>
    </cacheHierarchy>
    <cacheHierarchy uniqueName="[CountryTBL].[Country_id]" caption="Country_id" attribute="1" defaultMemberUniqueName="[CountryTBL].[Country_id].[All]" allUniqueName="[CountryTBL].[Country_id].[All]" dimensionUniqueName="[CountryTBL]" displayFolder="" count="0" memberValueDatatype="130" unbalanced="0"/>
    <cacheHierarchy uniqueName="[CustomerAgeTBL].[Customer_Age]" caption="Customer_Age" attribute="1" defaultMemberUniqueName="[CustomerAgeTBL].[Customer_Age].[All]" allUniqueName="[CustomerAgeTBL].[Customer_Age].[All]" dimensionUniqueName="[CustomerAgeTBL]" displayFolder="" count="0" memberValueDatatype="20" unbalanced="0"/>
    <cacheHierarchy uniqueName="[CustomerAgeTBL].[Age_Group_id]" caption="Age_Group_id" attribute="1" defaultMemberUniqueName="[CustomerAgeTBL].[Age_Group_id].[All]" allUniqueName="[CustomerAgeTBL].[Age_Group_id].[All]" dimensionUniqueName="[CustomerAgeTBL]" displayFolder="" count="0" memberValueDatatype="130" unbalanced="0"/>
    <cacheHierarchy uniqueName="[CustomerAgeTBL].[Customer_Age_id]" caption="Customer_Age_id" attribute="1" defaultMemberUniqueName="[CustomerAgeTBL].[Customer_Age_id].[All]" allUniqueName="[CustomerAgeTBL].[Customer_Age_id].[All]" dimensionUniqueName="[CustomerAgeTBL]" displayFolder="" count="0" memberValueDatatype="130" unbalanced="0"/>
    <cacheHierarchy uniqueName="[LocationTBL].[State]" caption="State" attribute="1" defaultMemberUniqueName="[LocationTBL].[State].[All]" allUniqueName="[LocationTBL].[State].[All]" dimensionUniqueName="[LocationTBL]" displayFolder="" count="0" memberValueDatatype="130" unbalanced="0"/>
    <cacheHierarchy uniqueName="[LocationTBL].[Country_id]" caption="Country_id" attribute="1" defaultMemberUniqueName="[LocationTBL].[Country_id].[All]" allUniqueName="[LocationTBL].[Country_id].[All]" dimensionUniqueName="[LocationTBL]" displayFolder="" count="0" memberValueDatatype="130" unbalanced="0"/>
    <cacheHierarchy uniqueName="[LocationTBL].[Location_id]" caption="Location_id" attribute="1" defaultMemberUniqueName="[LocationTBL].[Location_id].[All]" allUniqueName="[LocationTBL].[Location_id].[All]" dimensionUniqueName="[LocationTBL]" displayFolder="" count="0" memberValueDatatype="130" unbalanced="0"/>
    <cacheHierarchy uniqueName="[ProductClrSzTBL].[Product_Description_id]" caption="Product_Description_id" attribute="1" defaultMemberUniqueName="[ProductClrSzTBL].[Product_Description_id].[All]" allUniqueName="[ProductClrSzTBL].[Product_Description_id].[All]" dimensionUniqueName="[ProductClrSzTBL]" displayFolder="" count="0" memberValueDatatype="130" unbalanced="0"/>
    <cacheHierarchy uniqueName="[ProductClrSzTBL].[Color]" caption="Color" attribute="1" defaultMemberUniqueName="[ProductClrSzTBL].[Color].[All]" allUniqueName="[ProductClrSzTBL].[Color].[All]" dimensionUniqueName="[ProductClrSzTBL]" displayFolder="" count="0" memberValueDatatype="130" unbalanced="0"/>
    <cacheHierarchy uniqueName="[ProductClrSzTBL].[Size]" caption="Size" attribute="1" defaultMemberUniqueName="[ProductClrSzTBL].[Size].[All]" allUniqueName="[ProductClrSzTBL].[Size].[All]" dimensionUniqueName="[ProductClrSzTBL]" displayFolder="" count="0" memberValueDatatype="20" unbalanced="0"/>
    <cacheHierarchy uniqueName="[ProductClrSzTBL].[Product_id]" caption="Product_id" attribute="1" defaultMemberUniqueName="[ProductClrSzTBL].[Product_id].[All]" allUniqueName="[ProductClrSzTBL].[Product_id].[All]" dimensionUniqueName="[ProductClrSzTBL]" displayFolder="" count="0" memberValueDatatype="130" unbalanced="0"/>
    <cacheHierarchy uniqueName="[ProductDescTBL].[Product_Description]" caption="Product_Description" attribute="1" defaultMemberUniqueName="[ProductDescTBL].[Product_Description].[All]" allUniqueName="[ProductDescTBL].[Product_Description].[All]" dimensionUniqueName="[ProductDescTBL]" displayFolder="" count="0" memberValueDatatype="130" unbalanced="0"/>
    <cacheHierarchy uniqueName="[ProductDescTBL].[Product_Description_id]" caption="Product_Description_id" attribute="1" defaultMemberUniqueName="[ProductDescTBL].[Product_Description_id].[All]" allUniqueName="[ProductDescTBL].[Product_Description_id].[All]" dimensionUniqueName="[ProductDescTBL]" displayFolder="" count="0" memberValueDatatype="130" unbalanced="0"/>
    <cacheHierarchy uniqueName="[ProductDescTBL].[Product_Category]" caption="Product_Category" attribute="1" defaultMemberUniqueName="[ProductDescTBL].[Product_Category].[All]" allUniqueName="[ProductDescTBL].[Product_Category].[All]" dimensionUniqueName="[ProductDescTBL]" displayFolder="" count="0" memberValueDatatype="130" unbalanced="0"/>
    <cacheHierarchy uniqueName="[ProductDescTBL].[Sub_Category]" caption="Sub_Category" attribute="1" defaultMemberUniqueName="[ProductDescTBL].[Sub_Category].[All]" allUniqueName="[ProductDescTBL].[Sub_Category].[All]" dimensionUniqueName="[ProductDescTBL]" displayFolder="" count="0" memberValueDatatype="130" unbalanced="0"/>
    <cacheHierarchy uniqueName="[Measures].[__XL_Count BikeSalesTBL]" caption="__XL_Count BikeSalesTBL" measure="1" displayFolder="" measureGroup="BikeSalesTBL" count="0" hidden="1"/>
    <cacheHierarchy uniqueName="[Measures].[__XL_Count ClientTBL]" caption="__XL_Count ClientTBL" measure="1" displayFolder="" measureGroup="ClientTBL" count="0" hidden="1"/>
    <cacheHierarchy uniqueName="[Measures].[__XL_Count LocationTBL]" caption="__XL_Count LocationTBL" measure="1" displayFolder="" measureGroup="LocationTBL" count="0" hidden="1"/>
    <cacheHierarchy uniqueName="[Measures].[__XL_Count CustomerAgeTBL]" caption="__XL_Count CustomerAgeTBL" measure="1" displayFolder="" measureGroup="CustomerAgeTBL" count="0" hidden="1"/>
    <cacheHierarchy uniqueName="[Measures].[__XL_Count ProductClrSzTBL]" caption="__XL_Count ProductClrSzTBL" measure="1" displayFolder="" measureGroup="ProductClrSzTBL" count="0" hidden="1"/>
    <cacheHierarchy uniqueName="[Measures].[__XL_Count AgeGroupTBL]" caption="__XL_Count AgeGroupTBL" measure="1" displayFolder="" measureGroup="AgeGroupTBL" count="0" hidden="1"/>
    <cacheHierarchy uniqueName="[Measures].[__XL_Count CountryTBL]" caption="__XL_Count CountryTBL" measure="1" displayFolder="" measureGroup="CountryTBL" count="0" hidden="1"/>
    <cacheHierarchy uniqueName="[Measures].[__XL_Count ProductDescTBL]" caption="__XL_Count ProductDescTBL" measure="1" displayFolder="" measureGroup="ProductDescTBL" count="0" hidden="1"/>
    <cacheHierarchy uniqueName="[Measures].[__No measures defined]" caption="__No measures defined" measure="1" displayFolder="" count="0" hidden="1"/>
    <cacheHierarchy uniqueName="[Measures].[Sum of Order_Quantity]" caption="Sum of Order_Quantity" measure="1" displayFolder="" measureGroup="BikeSalesTBL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Unit_Cost]" caption="Sum of Unit_Cost" measure="1" displayFolder="" measureGroup="BikeSalesTBL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Unit_Price]" caption="Sum of Unit_Price" measure="1" displayFolder="" measureGroup="BikeSalesTBL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um of Profit]" caption="Sum of Profit" measure="1" displayFolder="" measureGroup="BikeSalesTBL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Revenue]" caption="Sum of Revenue" measure="1" displayFolder="" measureGroup="BikeSalesTBL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9">
    <dimension name="AgeGroupTBL" uniqueName="[AgeGroupTBL]" caption="AgeGroupTBL"/>
    <dimension name="BikeSalesTBL" uniqueName="[BikeSalesTBL]" caption="BikeSalesTBL"/>
    <dimension name="ClientTBL" uniqueName="[ClientTBL]" caption="ClientTBL"/>
    <dimension name="CountryTBL" uniqueName="[CountryTBL]" caption="CountryTBL"/>
    <dimension name="CustomerAgeTBL" uniqueName="[CustomerAgeTBL]" caption="CustomerAgeTBL"/>
    <dimension name="LocationTBL" uniqueName="[LocationTBL]" caption="LocationTBL"/>
    <dimension measure="1" name="Measures" uniqueName="[Measures]" caption="Measures"/>
    <dimension name="ProductClrSzTBL" uniqueName="[ProductClrSzTBL]" caption="ProductClrSzTBL"/>
    <dimension name="ProductDescTBL" uniqueName="[ProductDescTBL]" caption="ProductDescTBL"/>
  </dimensions>
  <measureGroups count="8">
    <measureGroup name="AgeGroupTBL" caption="AgeGroupTBL"/>
    <measureGroup name="BikeSalesTBL" caption="BikeSalesTBL"/>
    <measureGroup name="ClientTBL" caption="ClientTBL"/>
    <measureGroup name="CountryTBL" caption="CountryTBL"/>
    <measureGroup name="CustomerAgeTBL" caption="CustomerAgeTBL"/>
    <measureGroup name="LocationTBL" caption="LocationTBL"/>
    <measureGroup name="ProductClrSzTBL" caption="ProductClrSzTBL"/>
    <measureGroup name="ProductDescTBL" caption="ProductDescTBL"/>
  </measureGroups>
  <maps count="22">
    <map measureGroup="0" dimension="0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7"/>
    <map measureGroup="1" dimension="8"/>
    <map measureGroup="2" dimension="0"/>
    <map measureGroup="2" dimension="2"/>
    <map measureGroup="2" dimension="3"/>
    <map measureGroup="2" dimension="4"/>
    <map measureGroup="2" dimension="5"/>
    <map measureGroup="3" dimension="3"/>
    <map measureGroup="4" dimension="0"/>
    <map measureGroup="4" dimension="4"/>
    <map measureGroup="5" dimension="3"/>
    <map measureGroup="5" dimension="5"/>
    <map measureGroup="6" dimension="7"/>
    <map measureGroup="6" dimension="8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"/>
    <s v="Black"/>
    <n v="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"/>
    <s v="Silver"/>
    <n v="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"/>
    <s v="Silver"/>
    <n v="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"/>
    <s v="Silver"/>
    <n v="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"/>
    <s v="Black"/>
    <n v="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"/>
    <s v="Black"/>
    <n v="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"/>
    <s v="Black"/>
    <n v="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"/>
    <s v="Silver"/>
    <n v="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"/>
    <s v="Black"/>
    <n v="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"/>
    <s v="Black"/>
    <n v="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"/>
    <s v="Silver"/>
    <n v="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"/>
    <s v="Black"/>
    <n v="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"/>
    <s v="Silver"/>
    <n v="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"/>
    <s v="Black"/>
    <n v="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"/>
    <s v="Black"/>
    <n v="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"/>
    <s v="Silver"/>
    <n v="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"/>
    <s v="Silver"/>
    <n v="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"/>
    <s v="Silver"/>
    <n v="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"/>
    <s v="Silver"/>
    <n v="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"/>
    <s v="Silver"/>
    <n v="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"/>
    <s v="Black"/>
    <n v="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"/>
    <s v="Black"/>
    <n v="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"/>
    <s v="Black"/>
    <n v="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"/>
    <s v="Silver"/>
    <n v="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"/>
    <s v="Black"/>
    <n v="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"/>
    <s v="Black"/>
    <n v="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"/>
    <s v="Black"/>
    <n v="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"/>
    <s v="Black"/>
    <n v="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"/>
    <s v="Silver"/>
    <n v="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"/>
    <s v="Black"/>
    <n v="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"/>
    <s v="Black"/>
    <n v="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"/>
    <s v="Silver"/>
    <n v="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"/>
    <s v="Black"/>
    <n v="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"/>
    <s v="Silver"/>
    <n v="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"/>
    <s v="Silver"/>
    <n v="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"/>
    <s v="Silver"/>
    <n v="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"/>
    <s v="Silver"/>
    <n v="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"/>
    <s v="Black"/>
    <n v="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"/>
    <s v="Silver"/>
    <n v="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"/>
    <s v="Silver"/>
    <n v="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"/>
    <s v="Silver"/>
    <n v="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"/>
    <s v="Silver"/>
    <n v="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"/>
    <s v="Black"/>
    <n v="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"/>
    <s v="Black"/>
    <n v="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"/>
    <s v="Silver"/>
    <n v="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"/>
    <s v="Black"/>
    <n v="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"/>
    <s v="Silver"/>
    <n v="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"/>
    <s v="Silver"/>
    <n v="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"/>
    <s v="Black"/>
    <n v="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"/>
    <s v="Black"/>
    <n v="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"/>
    <s v="Silver"/>
    <n v="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"/>
    <s v="Silver"/>
    <n v="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"/>
    <s v="Silver"/>
    <n v="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"/>
    <s v="Silver"/>
    <n v="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"/>
    <s v="Silver"/>
    <n v="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"/>
    <s v="Silver"/>
    <n v="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"/>
    <s v="Silver"/>
    <n v="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"/>
    <s v="Silver"/>
    <n v="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"/>
    <s v="Black"/>
    <n v="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"/>
    <s v="Black"/>
    <n v="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"/>
    <s v="Silver"/>
    <n v="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"/>
    <s v="Silver"/>
    <n v="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"/>
    <s v="Black"/>
    <n v="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"/>
    <s v="Black"/>
    <n v="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"/>
    <s v="Black"/>
    <n v="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"/>
    <s v="Black"/>
    <n v="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"/>
    <s v="Black"/>
    <n v="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"/>
    <s v="Black"/>
    <n v="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"/>
    <s v="Black"/>
    <n v="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"/>
    <s v="Black"/>
    <n v="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"/>
    <s v="Silver"/>
    <n v="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"/>
    <s v="Black"/>
    <n v="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"/>
    <s v="Black"/>
    <n v="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"/>
    <s v="Black"/>
    <n v="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"/>
    <s v="Silver"/>
    <n v="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"/>
    <s v="Silver"/>
    <n v="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"/>
    <s v="Silver"/>
    <n v="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"/>
    <s v="Silver"/>
    <n v="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"/>
    <s v="Silver"/>
    <n v="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"/>
    <s v="Black"/>
    <n v="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"/>
    <s v="Silver"/>
    <n v="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"/>
    <s v="Black"/>
    <n v="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"/>
    <s v="Black"/>
    <n v="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"/>
    <s v="Silver"/>
    <n v="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"/>
    <s v="Silver"/>
    <n v="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"/>
    <s v="Black"/>
    <n v="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"/>
    <s v="Black"/>
    <n v="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"/>
    <s v="Black"/>
    <n v="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89F8C-1B5A-430C-BA1B-67258CA54083}" name="PivotTable2" cacheId="61" applyNumberFormats="0" applyBorderFormats="0" applyFontFormats="0" applyPatternFormats="0" applyAlignmentFormats="0" applyWidthHeightFormats="1" dataCaption="Values" tag="0a1d4185-ad66-4912-a08c-3bcbe3daa273" updatedVersion="8" minRefreshableVersion="3" useAutoFormatting="1" rowGrandTotals="0" colGrandTotals="0" itemPrintTitles="1" createdVersion="8" indent="0" outline="1" outlineData="1" multipleFieldFilters="0" chartFormat="64">
  <location ref="A18:B36" firstHeaderRow="1" firstDataRow="1" firstDataCol="1"/>
  <pivotFields count="4">
    <pivotField axis="axisRow" allDrilled="1" subtotalTop="0" showAll="0" measureFilter="1" sortType="descending" defaultSubtotal="0" defaultAttributeDrillState="1">
      <items count="2">
        <item x="0"/>
        <item x="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ubtotalTop="0" showAll="0" measureFilter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3">
    <field x="1"/>
    <field x="2"/>
    <field x="0"/>
  </rowFields>
  <rowItems count="18">
    <i>
      <x v="4"/>
    </i>
    <i r="1">
      <x/>
    </i>
    <i r="2">
      <x v="1"/>
    </i>
    <i>
      <x v="1"/>
    </i>
    <i r="1">
      <x v="1"/>
    </i>
    <i r="2">
      <x v="1"/>
    </i>
    <i>
      <x v="2"/>
    </i>
    <i r="1">
      <x v="2"/>
    </i>
    <i r="2">
      <x v="1"/>
    </i>
    <i>
      <x v="3"/>
    </i>
    <i r="1">
      <x/>
    </i>
    <i r="2">
      <x v="1"/>
    </i>
    <i>
      <x v="5"/>
    </i>
    <i r="1">
      <x/>
    </i>
    <i r="2">
      <x/>
    </i>
    <i>
      <x/>
    </i>
    <i r="1">
      <x/>
    </i>
    <i r="2">
      <x/>
    </i>
  </rowItems>
  <colItems count="1">
    <i/>
  </colItems>
  <dataFields count="1">
    <dataField name="Sum of Revenue" fld="3" baseField="0" baseItem="0"/>
  </dataFields>
  <chartFormats count="6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2" type="count" id="2" iMeasureHier="45">
      <autoFilter ref="A1">
        <filterColumn colId="0">
          <top10 val="1" filterVal="1"/>
        </filterColumn>
      </autoFilter>
    </filter>
    <filter fld="0" type="count" evalOrder="1" id="3" iMeasureHier="45">
      <autoFilter ref="A1">
        <filterColumn colId="0">
          <top10 val="1" filterVal="1"/>
        </filterColumn>
      </autoFilter>
    </filter>
  </filters>
  <rowHierarchiesUsage count="3">
    <rowHierarchyUsage hierarchyUsage="16"/>
    <rowHierarchyUsage hierarchyUsage="0"/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lientTBL]"/>
        <x15:activeTabTopLevelEntity name="[CountryTBL]"/>
        <x15:activeTabTopLevelEntity name="[AgeGroupTBL]"/>
        <x15:activeTabTopLevelEntity name="[BikeSalesTB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missingCaption="0" updatedVersion="6" minRefreshableVersion="3" useAutoFormatting="1" itemPrintTitles="1" createdVersion="6" indent="0" outline="1" outlineData="1" multipleFieldFilters="0" chartFormat="41">
  <location ref="A3:J14" firstHeaderRow="1" firstDataRow="2" firstDataCol="1"/>
  <pivotFields count="21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ascending">
      <items count="9">
        <item x="2"/>
        <item x="6"/>
        <item x="7"/>
        <item x="5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numFmtId="8" showAll="0"/>
    <pivotField numFmtId="8" showAll="0"/>
    <pivotField numFmtId="8" showAll="0"/>
    <pivotField numFmtId="8" showAll="0"/>
    <pivotField numFmtId="8" showAll="0"/>
  </pivotFields>
  <rowFields count="2">
    <field x="6"/>
    <field x="7"/>
  </rowFields>
  <rowItems count="10">
    <i>
      <x/>
    </i>
    <i r="1">
      <x v="1"/>
    </i>
    <i r="1">
      <x/>
    </i>
    <i>
      <x v="1"/>
    </i>
    <i r="1">
      <x v="1"/>
    </i>
    <i r="1">
      <x/>
    </i>
    <i>
      <x v="2"/>
    </i>
    <i r="1">
      <x v="1"/>
    </i>
    <i r="1">
      <x/>
    </i>
    <i t="grand">
      <x/>
    </i>
  </rowItems>
  <colFields count="1">
    <field x="8"/>
  </colFields>
  <colItems count="9">
    <i>
      <x v="7"/>
    </i>
    <i>
      <x v="4"/>
    </i>
    <i>
      <x v="1"/>
    </i>
    <i>
      <x v="3"/>
    </i>
    <i>
      <x v="5"/>
    </i>
    <i>
      <x v="2"/>
    </i>
    <i>
      <x v="6"/>
    </i>
    <i>
      <x/>
    </i>
    <i t="grand">
      <x/>
    </i>
  </colItems>
  <dataFields count="1">
    <dataField name="Sum of Order_Quantity" fld="15" baseField="0" baseItem="0"/>
  </dataFields>
  <formats count="5">
    <format dxfId="28">
      <pivotArea outline="0" collapsedLevelsAreSubtotals="1" fieldPosition="0"/>
    </format>
    <format dxfId="27">
      <pivotArea outline="0" collapsedLevelsAreSubtotals="1" fieldPosition="0"/>
    </format>
    <format dxfId="26">
      <pivotArea outline="0" collapsedLevelsAreSubtotals="1" fieldPosition="0"/>
    </format>
    <format dxfId="25">
      <pivotArea outline="0" collapsedLevelsAreSubtotals="1" fieldPosition="0"/>
    </format>
    <format dxfId="24">
      <pivotArea outline="0" collapsedLevelsAreSubtotals="1" fieldPosition="0"/>
    </format>
  </formats>
  <chartFormats count="1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36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6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6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6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6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36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6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4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4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4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EB878-7297-4701-8E4E-B961344F232D}" name="ProductDescTBL" displayName="ProductDescTBL" ref="A1:D5" totalsRowShown="0">
  <autoFilter ref="A1:D5" xr:uid="{114EB878-7297-4701-8E4E-B961344F232D}"/>
  <tableColumns count="4">
    <tableColumn id="1" xr3:uid="{ACAB6C8C-3733-49FA-A96B-679AD63E0E67}" name="Product_Description" dataDxfId="23"/>
    <tableColumn id="2" xr3:uid="{C64BCCE3-7D79-4C86-8400-94AC143DEE0C}" name="Product_Description_id"/>
    <tableColumn id="3" xr3:uid="{4E584AE2-6B66-438A-B17A-F45F6D0E5EAF}" name="Product_Category"/>
    <tableColumn id="4" xr3:uid="{828E3F3F-FDE9-4900-AB1B-7AE6CB657B4E}" name="Sub_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818A70-3C9E-41DD-8A0D-698D2E58E7C5}" name="ProductClrSzTBL" displayName="ProductClrSzTBL" ref="A1:D19" totalsRowShown="0" headerRowDxfId="22">
  <autoFilter ref="A1:D19" xr:uid="{7D818A70-3C9E-41DD-8A0D-698D2E58E7C5}"/>
  <tableColumns count="4">
    <tableColumn id="1" xr3:uid="{8E1DF8C3-A112-4BE0-AAC5-B0D7FF020179}" name="Product_Description_id"/>
    <tableColumn id="2" xr3:uid="{FEC80262-31BE-45E8-B2C2-E6C94C175AD8}" name="Color" dataDxfId="21"/>
    <tableColumn id="3" xr3:uid="{248568D1-0458-433C-9229-16B3E037B229}" name="Size" dataDxfId="20"/>
    <tableColumn id="4" xr3:uid="{06B93477-A885-49DB-B707-1D13E583AEAB}" name="Product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084F550-2A61-487E-A007-D508C158C410}" name="CountryTBL" displayName="CountryTBL" ref="A1:B7" totalsRowShown="0" headerRowDxfId="19">
  <autoFilter ref="A1:B7" xr:uid="{F084F550-2A61-487E-A007-D508C158C410}"/>
  <tableColumns count="2">
    <tableColumn id="1" xr3:uid="{642DC0F4-DD90-476D-B068-058C3196D896}" name="Country"/>
    <tableColumn id="2" xr3:uid="{7F235D4B-D387-4501-962A-9367E03C2147}" name="Country_i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1D7CB13-8E10-4B8E-9936-7A11DF6ED9CD}" name="LocationTBL" displayName="LocationTBL" ref="A1:C20" totalsRowShown="0" headerRowDxfId="18">
  <autoFilter ref="A1:C20" xr:uid="{71D7CB13-8E10-4B8E-9936-7A11DF6ED9CD}"/>
  <tableColumns count="3">
    <tableColumn id="1" xr3:uid="{D48E505E-2103-4608-B29E-C50AD21B47A2}" name="State"/>
    <tableColumn id="2" xr3:uid="{5B9BB4AD-2379-4AE5-BD09-030BAD2E0B0F}" name="Country_id"/>
    <tableColumn id="3" xr3:uid="{FFFA331B-51F3-4672-9EE7-8BADFD62ED8E}" name="Location_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D13669-2895-4BAC-8B38-678CFB695B85}" name="CustomerAgeTBL" displayName="CustomerAgeTBL" ref="A1:C29" totalsRowShown="0">
  <autoFilter ref="A1:C29" xr:uid="{90D13669-2895-4BAC-8B38-678CFB695B85}"/>
  <tableColumns count="3">
    <tableColumn id="1" xr3:uid="{A2078223-ED50-446E-93C8-3A856D8243E3}" name="Customer_Age"/>
    <tableColumn id="2" xr3:uid="{4117A456-3C4B-4E75-AE6C-8A9A44A8E169}" name="Age_Group_id"/>
    <tableColumn id="3" xr3:uid="{394D89B4-97E4-4CD9-AD58-7726B7AEC33E}" name="Customer_Age_i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D60BD0-757E-4A09-BF6C-49413C10FE4B}" name="AgeGroupTBL" displayName="AgeGroupTBL" ref="A1:B4" totalsRowShown="0" headerRowDxfId="17" dataDxfId="16">
  <autoFilter ref="A1:B4" xr:uid="{A0D60BD0-757E-4A09-BF6C-49413C10FE4B}"/>
  <tableColumns count="2">
    <tableColumn id="1" xr3:uid="{1065CED6-B0DF-4F97-A0AA-C92BF61A9517}" name="Age_Group" dataDxfId="15"/>
    <tableColumn id="2" xr3:uid="{0A586C4A-84B6-4137-8143-A7ECD786C3F4}" name="Age_Group_id" dataDxfId="1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D5AD8C-9285-491D-AC00-8260B60C9FCC}" name="ClientTBL" displayName="ClientTBL" ref="A1:D75" totalsRowShown="0" headerRowDxfId="13">
  <autoFilter ref="A1:D75" xr:uid="{98D5AD8C-9285-491D-AC00-8260B60C9FCC}"/>
  <tableColumns count="4">
    <tableColumn id="1" xr3:uid="{9E046D53-6EBA-42FF-8A9C-3BA34E94E42C}" name="Customer_Age_id"/>
    <tableColumn id="2" xr3:uid="{F14ED677-0E88-4216-94D4-6997DDE1117A}" name="Customer_Gender"/>
    <tableColumn id="3" xr3:uid="{53E83B67-E7E4-4444-9D24-ED8D8449DC6A}" name="Location_id"/>
    <tableColumn id="4" xr3:uid="{138297F0-F11D-4B47-BE80-EA9E1F494D41}" name="Customer_id" dataDxfId="1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420467F-BD48-436A-BD2B-0B4C7588A10E}" name="BikeSalesTBL" displayName="BikeSalesTBL" ref="A1:J89" totalsRowShown="0" headerRowDxfId="11">
  <autoFilter ref="A1:J89" xr:uid="{1420467F-BD48-436A-BD2B-0B4C7588A10E}"/>
  <tableColumns count="10">
    <tableColumn id="1" xr3:uid="{E077BA64-E6C2-4886-9A5A-1ECB9B611969}" name="Sales_Order #" dataDxfId="10"/>
    <tableColumn id="2" xr3:uid="{1DE8BAC4-E1FD-4EE3-97B9-5BBA8A51ECE0}" name="Date" dataDxfId="9"/>
    <tableColumn id="3" xr3:uid="{0EE24BBB-A58E-43C2-B0DB-3AAF344C6EB7}" name="Customer_id"/>
    <tableColumn id="4" xr3:uid="{572A16C1-00B2-4D82-8D5E-A8B731752C01}" name="Product_id" dataDxfId="8"/>
    <tableColumn id="5" xr3:uid="{414880CE-086C-49A2-A29A-F922DC437709}" name="Order_Quantity"/>
    <tableColumn id="6" xr3:uid="{FADA5E80-36F8-4CD6-9D0C-E4096834C36A}" name=" Unit_Cost " dataDxfId="7"/>
    <tableColumn id="7" xr3:uid="{AB813896-412B-493F-AC5D-FC53C3A130D0}" name=" Unit_Price " dataDxfId="6"/>
    <tableColumn id="8" xr3:uid="{18E24EC8-94CE-4FD8-987D-95E29E654BA2}" name=" Profit " dataDxfId="5"/>
    <tableColumn id="9" xr3:uid="{25E0797B-809B-49B6-BE2D-96B70E7C239A}" name=" Cost " dataDxfId="4">
      <calculatedColumnFormula>E2*F2</calculatedColumnFormula>
    </tableColumn>
    <tableColumn id="10" xr3:uid="{4CA2B2CE-9D50-42B7-9201-8D80764DED13}" name="Revenue" dataDxfId="3">
      <calculatedColumnFormula>E2*G2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0E076-0CDE-4EF0-B540-55675EAF1A9A}">
  <dimension ref="A1:D5"/>
  <sheetViews>
    <sheetView zoomScaleNormal="100" workbookViewId="0">
      <selection activeCell="I6" sqref="I6"/>
    </sheetView>
  </sheetViews>
  <sheetFormatPr defaultRowHeight="15" x14ac:dyDescent="0.25"/>
  <cols>
    <col min="1" max="1" width="21.140625" customWidth="1"/>
    <col min="2" max="2" width="23.85546875" customWidth="1"/>
    <col min="3" max="3" width="18.85546875" customWidth="1"/>
    <col min="4" max="4" width="15.28515625" customWidth="1"/>
  </cols>
  <sheetData>
    <row r="1" spans="1:4" x14ac:dyDescent="0.25">
      <c r="A1" s="8" t="s">
        <v>12</v>
      </c>
      <c r="B1" s="8" t="s">
        <v>305</v>
      </c>
      <c r="C1" s="6" t="s">
        <v>10</v>
      </c>
      <c r="D1" s="6" t="s">
        <v>11</v>
      </c>
    </row>
    <row r="2" spans="1:4" x14ac:dyDescent="0.25">
      <c r="A2" s="4" t="s">
        <v>163</v>
      </c>
      <c r="B2" t="s">
        <v>306</v>
      </c>
      <c r="C2" t="s">
        <v>25</v>
      </c>
      <c r="D2" t="s">
        <v>26</v>
      </c>
    </row>
    <row r="3" spans="1:4" x14ac:dyDescent="0.25">
      <c r="A3" s="4" t="s">
        <v>158</v>
      </c>
      <c r="B3" t="s">
        <v>307</v>
      </c>
      <c r="C3" t="s">
        <v>25</v>
      </c>
      <c r="D3" t="s">
        <v>26</v>
      </c>
    </row>
    <row r="4" spans="1:4" x14ac:dyDescent="0.25">
      <c r="A4" s="4" t="s">
        <v>161</v>
      </c>
      <c r="B4" t="s">
        <v>308</v>
      </c>
      <c r="C4" t="s">
        <v>25</v>
      </c>
      <c r="D4" t="s">
        <v>26</v>
      </c>
    </row>
    <row r="5" spans="1:4" x14ac:dyDescent="0.25">
      <c r="A5" s="4" t="s">
        <v>162</v>
      </c>
      <c r="B5" t="s">
        <v>309</v>
      </c>
      <c r="C5" t="s">
        <v>25</v>
      </c>
      <c r="D5" t="s">
        <v>26</v>
      </c>
    </row>
  </sheetData>
  <sortState xmlns:xlrd2="http://schemas.microsoft.com/office/spreadsheetml/2017/richdata2" ref="A2:A19">
    <sortCondition ref="A2:A19"/>
  </sortState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A47C-BC82-4941-98A5-0BA684CE5DC3}">
  <dimension ref="A1:D19"/>
  <sheetViews>
    <sheetView zoomScaleNormal="100" workbookViewId="0">
      <selection sqref="A1:D19"/>
    </sheetView>
  </sheetViews>
  <sheetFormatPr defaultRowHeight="15" x14ac:dyDescent="0.25"/>
  <cols>
    <col min="1" max="1" width="23.85546875" customWidth="1"/>
    <col min="2" max="2" width="7.85546875" customWidth="1"/>
    <col min="3" max="3" width="6.7109375" customWidth="1"/>
    <col min="4" max="4" width="22.140625" bestFit="1" customWidth="1"/>
  </cols>
  <sheetData>
    <row r="1" spans="1:4" x14ac:dyDescent="0.25">
      <c r="A1" s="8" t="s">
        <v>305</v>
      </c>
      <c r="B1" s="8" t="s">
        <v>164</v>
      </c>
      <c r="C1" s="8" t="s">
        <v>165</v>
      </c>
      <c r="D1" s="8" t="s">
        <v>310</v>
      </c>
    </row>
    <row r="2" spans="1:4" x14ac:dyDescent="0.25">
      <c r="A2" t="s">
        <v>306</v>
      </c>
      <c r="B2" s="4" t="s">
        <v>159</v>
      </c>
      <c r="C2" s="4">
        <v>38</v>
      </c>
      <c r="D2" t="s">
        <v>311</v>
      </c>
    </row>
    <row r="3" spans="1:4" x14ac:dyDescent="0.25">
      <c r="A3" t="s">
        <v>307</v>
      </c>
      <c r="B3" s="4" t="s">
        <v>159</v>
      </c>
      <c r="C3" s="4">
        <v>38</v>
      </c>
      <c r="D3" t="s">
        <v>312</v>
      </c>
    </row>
    <row r="4" spans="1:4" x14ac:dyDescent="0.25">
      <c r="A4" t="s">
        <v>307</v>
      </c>
      <c r="B4" s="4" t="s">
        <v>160</v>
      </c>
      <c r="C4" s="4">
        <v>38</v>
      </c>
      <c r="D4" t="s">
        <v>313</v>
      </c>
    </row>
    <row r="5" spans="1:4" x14ac:dyDescent="0.25">
      <c r="A5" t="s">
        <v>308</v>
      </c>
      <c r="B5" s="4" t="s">
        <v>160</v>
      </c>
      <c r="C5" s="4">
        <v>38</v>
      </c>
      <c r="D5" t="s">
        <v>314</v>
      </c>
    </row>
    <row r="6" spans="1:4" x14ac:dyDescent="0.25">
      <c r="A6" t="s">
        <v>309</v>
      </c>
      <c r="B6" s="4" t="s">
        <v>159</v>
      </c>
      <c r="C6" s="4">
        <v>40</v>
      </c>
      <c r="D6" t="s">
        <v>315</v>
      </c>
    </row>
    <row r="7" spans="1:4" x14ac:dyDescent="0.25">
      <c r="A7" t="s">
        <v>309</v>
      </c>
      <c r="B7" s="4" t="s">
        <v>160</v>
      </c>
      <c r="C7" s="4">
        <v>40</v>
      </c>
      <c r="D7" t="s">
        <v>316</v>
      </c>
    </row>
    <row r="8" spans="1:4" x14ac:dyDescent="0.25">
      <c r="A8" t="s">
        <v>307</v>
      </c>
      <c r="B8" s="4" t="s">
        <v>160</v>
      </c>
      <c r="C8" s="4">
        <v>42</v>
      </c>
      <c r="D8" t="s">
        <v>317</v>
      </c>
    </row>
    <row r="9" spans="1:4" x14ac:dyDescent="0.25">
      <c r="A9" t="s">
        <v>307</v>
      </c>
      <c r="B9" s="4" t="s">
        <v>159</v>
      </c>
      <c r="C9" s="4">
        <v>42</v>
      </c>
      <c r="D9" t="s">
        <v>318</v>
      </c>
    </row>
    <row r="10" spans="1:4" x14ac:dyDescent="0.25">
      <c r="A10" t="s">
        <v>308</v>
      </c>
      <c r="B10" s="4" t="s">
        <v>160</v>
      </c>
      <c r="C10" s="4">
        <v>42</v>
      </c>
      <c r="D10" t="s">
        <v>319</v>
      </c>
    </row>
    <row r="11" spans="1:4" x14ac:dyDescent="0.25">
      <c r="A11" t="s">
        <v>309</v>
      </c>
      <c r="B11" s="4" t="s">
        <v>160</v>
      </c>
      <c r="C11" s="4">
        <v>42</v>
      </c>
      <c r="D11" t="s">
        <v>320</v>
      </c>
    </row>
    <row r="12" spans="1:4" x14ac:dyDescent="0.25">
      <c r="A12" t="s">
        <v>309</v>
      </c>
      <c r="B12" s="4" t="s">
        <v>159</v>
      </c>
      <c r="C12" s="4">
        <v>42</v>
      </c>
      <c r="D12" t="s">
        <v>321</v>
      </c>
    </row>
    <row r="13" spans="1:4" x14ac:dyDescent="0.25">
      <c r="A13" t="s">
        <v>306</v>
      </c>
      <c r="B13" s="4" t="s">
        <v>160</v>
      </c>
      <c r="C13" s="4">
        <v>44</v>
      </c>
      <c r="D13" t="s">
        <v>322</v>
      </c>
    </row>
    <row r="14" spans="1:4" x14ac:dyDescent="0.25">
      <c r="A14" t="s">
        <v>309</v>
      </c>
      <c r="B14" s="4" t="s">
        <v>159</v>
      </c>
      <c r="C14" s="4">
        <v>44</v>
      </c>
      <c r="D14" t="s">
        <v>323</v>
      </c>
    </row>
    <row r="15" spans="1:4" x14ac:dyDescent="0.25">
      <c r="A15" t="s">
        <v>307</v>
      </c>
      <c r="B15" s="4" t="s">
        <v>159</v>
      </c>
      <c r="C15" s="4">
        <v>46</v>
      </c>
      <c r="D15" t="s">
        <v>324</v>
      </c>
    </row>
    <row r="16" spans="1:4" x14ac:dyDescent="0.25">
      <c r="A16" t="s">
        <v>307</v>
      </c>
      <c r="B16" s="4" t="s">
        <v>160</v>
      </c>
      <c r="C16" s="4">
        <v>46</v>
      </c>
      <c r="D16" t="s">
        <v>325</v>
      </c>
    </row>
    <row r="17" spans="1:4" x14ac:dyDescent="0.25">
      <c r="A17" t="s">
        <v>308</v>
      </c>
      <c r="B17" s="4" t="s">
        <v>160</v>
      </c>
      <c r="C17" s="4">
        <v>46</v>
      </c>
      <c r="D17" t="s">
        <v>326</v>
      </c>
    </row>
    <row r="18" spans="1:4" x14ac:dyDescent="0.25">
      <c r="A18" t="s">
        <v>306</v>
      </c>
      <c r="B18" s="4" t="s">
        <v>159</v>
      </c>
      <c r="C18" s="4">
        <v>48</v>
      </c>
      <c r="D18" t="s">
        <v>327</v>
      </c>
    </row>
    <row r="19" spans="1:4" x14ac:dyDescent="0.25">
      <c r="A19" t="s">
        <v>309</v>
      </c>
      <c r="B19" s="4" t="s">
        <v>159</v>
      </c>
      <c r="C19" s="4">
        <v>52</v>
      </c>
      <c r="D19" t="s">
        <v>328</v>
      </c>
    </row>
  </sheetData>
  <sortState xmlns:xlrd2="http://schemas.microsoft.com/office/spreadsheetml/2017/richdata2" ref="A2:C19">
    <sortCondition ref="C2:C19"/>
  </sortState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6814-EB8B-4A4B-903B-CE9FBA57CCFD}">
  <dimension ref="A1:B7"/>
  <sheetViews>
    <sheetView zoomScaleNormal="100" workbookViewId="0">
      <selection activeCell="I2" sqref="I2"/>
    </sheetView>
  </sheetViews>
  <sheetFormatPr defaultRowHeight="15" x14ac:dyDescent="0.25"/>
  <cols>
    <col min="1" max="1" width="15.42578125" bestFit="1" customWidth="1"/>
    <col min="2" max="2" width="20.28515625" bestFit="1" customWidth="1"/>
    <col min="3" max="3" width="16.85546875" bestFit="1" customWidth="1"/>
    <col min="4" max="4" width="14.85546875" bestFit="1" customWidth="1"/>
    <col min="5" max="5" width="19.28515625" bestFit="1" customWidth="1"/>
    <col min="6" max="6" width="6" bestFit="1" customWidth="1"/>
    <col min="7" max="7" width="4.5703125" bestFit="1" customWidth="1"/>
    <col min="8" max="8" width="15" bestFit="1" customWidth="1"/>
    <col min="9" max="9" width="10.5703125" bestFit="1" customWidth="1"/>
    <col min="10" max="10" width="11.140625" bestFit="1" customWidth="1"/>
    <col min="11" max="12" width="9.85546875" bestFit="1" customWidth="1"/>
    <col min="13" max="13" width="10.85546875" bestFit="1" customWidth="1"/>
  </cols>
  <sheetData>
    <row r="1" spans="1:2" x14ac:dyDescent="0.25">
      <c r="A1" s="6" t="s">
        <v>8</v>
      </c>
      <c r="B1" s="6" t="s">
        <v>174</v>
      </c>
    </row>
    <row r="2" spans="1:2" x14ac:dyDescent="0.25">
      <c r="A2" t="s">
        <v>36</v>
      </c>
      <c r="B2" t="s">
        <v>175</v>
      </c>
    </row>
    <row r="3" spans="1:2" x14ac:dyDescent="0.25">
      <c r="A3" t="s">
        <v>58</v>
      </c>
      <c r="B3" t="s">
        <v>176</v>
      </c>
    </row>
    <row r="4" spans="1:2" x14ac:dyDescent="0.25">
      <c r="A4" t="s">
        <v>87</v>
      </c>
      <c r="B4" t="s">
        <v>177</v>
      </c>
    </row>
    <row r="5" spans="1:2" x14ac:dyDescent="0.25">
      <c r="A5" t="s">
        <v>50</v>
      </c>
      <c r="B5" t="s">
        <v>178</v>
      </c>
    </row>
    <row r="6" spans="1:2" x14ac:dyDescent="0.25">
      <c r="A6" t="s">
        <v>29</v>
      </c>
      <c r="B6" t="s">
        <v>179</v>
      </c>
    </row>
    <row r="7" spans="1:2" x14ac:dyDescent="0.25">
      <c r="A7" t="s">
        <v>23</v>
      </c>
      <c r="B7" t="s">
        <v>180</v>
      </c>
    </row>
  </sheetData>
  <sortState xmlns:xlrd2="http://schemas.microsoft.com/office/spreadsheetml/2017/richdata2" ref="A2:A7">
    <sortCondition ref="A7"/>
  </sortState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C02FC-6D68-4E19-990C-36E876273F4D}">
  <dimension ref="A1:C20"/>
  <sheetViews>
    <sheetView zoomScaleNormal="100" workbookViewId="0">
      <selection sqref="A1:C20"/>
    </sheetView>
  </sheetViews>
  <sheetFormatPr defaultRowHeight="15" x14ac:dyDescent="0.25"/>
  <cols>
    <col min="1" max="1" width="20.28515625" bestFit="1" customWidth="1"/>
    <col min="2" max="2" width="12.85546875" customWidth="1"/>
    <col min="3" max="3" width="13.28515625" customWidth="1"/>
    <col min="4" max="4" width="19.28515625" bestFit="1" customWidth="1"/>
    <col min="5" max="5" width="6" bestFit="1" customWidth="1"/>
    <col min="6" max="6" width="4.5703125" bestFit="1" customWidth="1"/>
    <col min="7" max="7" width="15" bestFit="1" customWidth="1"/>
    <col min="8" max="8" width="10.5703125" bestFit="1" customWidth="1"/>
    <col min="9" max="9" width="11.140625" bestFit="1" customWidth="1"/>
    <col min="10" max="11" width="9.85546875" bestFit="1" customWidth="1"/>
    <col min="12" max="12" width="10.85546875" bestFit="1" customWidth="1"/>
  </cols>
  <sheetData>
    <row r="1" spans="1:3" x14ac:dyDescent="0.25">
      <c r="A1" s="6" t="s">
        <v>9</v>
      </c>
      <c r="B1" s="6" t="s">
        <v>174</v>
      </c>
      <c r="C1" s="6" t="s">
        <v>181</v>
      </c>
    </row>
    <row r="2" spans="1:3" x14ac:dyDescent="0.25">
      <c r="A2" t="s">
        <v>59</v>
      </c>
      <c r="B2" t="s">
        <v>176</v>
      </c>
      <c r="C2" t="s">
        <v>182</v>
      </c>
    </row>
    <row r="3" spans="1:3" x14ac:dyDescent="0.25">
      <c r="A3" t="s">
        <v>24</v>
      </c>
      <c r="B3" t="s">
        <v>180</v>
      </c>
      <c r="C3" t="s">
        <v>183</v>
      </c>
    </row>
    <row r="4" spans="1:3" x14ac:dyDescent="0.25">
      <c r="A4" t="s">
        <v>24</v>
      </c>
      <c r="B4" t="s">
        <v>178</v>
      </c>
      <c r="C4" t="s">
        <v>184</v>
      </c>
    </row>
    <row r="5" spans="1:3" x14ac:dyDescent="0.25">
      <c r="A5" t="s">
        <v>30</v>
      </c>
      <c r="B5" t="s">
        <v>179</v>
      </c>
      <c r="C5" t="s">
        <v>185</v>
      </c>
    </row>
    <row r="6" spans="1:3" x14ac:dyDescent="0.25">
      <c r="A6" t="s">
        <v>77</v>
      </c>
      <c r="B6" t="s">
        <v>178</v>
      </c>
      <c r="C6" t="s">
        <v>186</v>
      </c>
    </row>
    <row r="7" spans="1:3" x14ac:dyDescent="0.25">
      <c r="A7" t="s">
        <v>136</v>
      </c>
      <c r="B7" t="s">
        <v>178</v>
      </c>
      <c r="C7" t="s">
        <v>187</v>
      </c>
    </row>
    <row r="8" spans="1:3" x14ac:dyDescent="0.25">
      <c r="A8" t="s">
        <v>37</v>
      </c>
      <c r="B8" t="s">
        <v>175</v>
      </c>
      <c r="C8" t="s">
        <v>188</v>
      </c>
    </row>
    <row r="9" spans="1:3" x14ac:dyDescent="0.25">
      <c r="A9" t="s">
        <v>124</v>
      </c>
      <c r="B9" t="s">
        <v>177</v>
      </c>
      <c r="C9" t="s">
        <v>189</v>
      </c>
    </row>
    <row r="10" spans="1:3" x14ac:dyDescent="0.25">
      <c r="A10" t="s">
        <v>51</v>
      </c>
      <c r="B10" t="s">
        <v>178</v>
      </c>
      <c r="C10" t="s">
        <v>190</v>
      </c>
    </row>
    <row r="11" spans="1:3" x14ac:dyDescent="0.25">
      <c r="A11" t="s">
        <v>70</v>
      </c>
      <c r="B11" t="s">
        <v>180</v>
      </c>
      <c r="C11" t="s">
        <v>191</v>
      </c>
    </row>
    <row r="12" spans="1:3" x14ac:dyDescent="0.25">
      <c r="A12" t="s">
        <v>53</v>
      </c>
      <c r="B12" t="s">
        <v>175</v>
      </c>
      <c r="C12" t="s">
        <v>192</v>
      </c>
    </row>
    <row r="13" spans="1:3" x14ac:dyDescent="0.25">
      <c r="A13" t="s">
        <v>88</v>
      </c>
      <c r="B13" t="s">
        <v>177</v>
      </c>
      <c r="C13" t="s">
        <v>193</v>
      </c>
    </row>
    <row r="14" spans="1:3" x14ac:dyDescent="0.25">
      <c r="A14" t="s">
        <v>110</v>
      </c>
      <c r="B14" t="s">
        <v>177</v>
      </c>
      <c r="C14" t="s">
        <v>194</v>
      </c>
    </row>
    <row r="15" spans="1:3" x14ac:dyDescent="0.25">
      <c r="A15" t="s">
        <v>118</v>
      </c>
      <c r="B15" t="s">
        <v>177</v>
      </c>
      <c r="C15" t="s">
        <v>195</v>
      </c>
    </row>
    <row r="16" spans="1:3" x14ac:dyDescent="0.25">
      <c r="A16" t="s">
        <v>145</v>
      </c>
      <c r="B16" t="s">
        <v>177</v>
      </c>
      <c r="C16" t="s">
        <v>196</v>
      </c>
    </row>
    <row r="17" spans="1:3" x14ac:dyDescent="0.25">
      <c r="A17" t="s">
        <v>134</v>
      </c>
      <c r="B17" t="s">
        <v>175</v>
      </c>
      <c r="C17" t="s">
        <v>197</v>
      </c>
    </row>
    <row r="18" spans="1:3" x14ac:dyDescent="0.25">
      <c r="A18" t="s">
        <v>74</v>
      </c>
      <c r="B18" t="s">
        <v>175</v>
      </c>
      <c r="C18" t="s">
        <v>198</v>
      </c>
    </row>
    <row r="19" spans="1:3" x14ac:dyDescent="0.25">
      <c r="A19" t="s">
        <v>46</v>
      </c>
      <c r="B19" t="s">
        <v>180</v>
      </c>
      <c r="C19" t="s">
        <v>199</v>
      </c>
    </row>
    <row r="20" spans="1:3" x14ac:dyDescent="0.25">
      <c r="A20" t="s">
        <v>46</v>
      </c>
      <c r="B20" t="s">
        <v>180</v>
      </c>
      <c r="C20" t="s">
        <v>200</v>
      </c>
    </row>
  </sheetData>
  <sortState xmlns:xlrd2="http://schemas.microsoft.com/office/spreadsheetml/2017/richdata2" ref="A2:C20">
    <sortCondition ref="A2:A20"/>
  </sortState>
  <phoneticPr fontId="18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F6DA4-0DCB-482E-AE22-2B32EEDD4933}">
  <dimension ref="A1:C29"/>
  <sheetViews>
    <sheetView zoomScaleNormal="100" workbookViewId="0">
      <selection activeCell="E5" sqref="E5"/>
    </sheetView>
  </sheetViews>
  <sheetFormatPr defaultRowHeight="15" x14ac:dyDescent="0.25"/>
  <cols>
    <col min="1" max="1" width="16.140625" customWidth="1"/>
    <col min="2" max="2" width="15.85546875" customWidth="1"/>
    <col min="3" max="3" width="18.85546875" customWidth="1"/>
  </cols>
  <sheetData>
    <row r="1" spans="1:3" x14ac:dyDescent="0.25">
      <c r="A1" s="6" t="s">
        <v>5</v>
      </c>
      <c r="B1" s="7" t="s">
        <v>170</v>
      </c>
      <c r="C1" s="6" t="s">
        <v>201</v>
      </c>
    </row>
    <row r="2" spans="1:3" x14ac:dyDescent="0.25">
      <c r="A2">
        <v>17</v>
      </c>
      <c r="B2" t="s">
        <v>173</v>
      </c>
      <c r="C2" t="s">
        <v>202</v>
      </c>
    </row>
    <row r="3" spans="1:3" x14ac:dyDescent="0.25">
      <c r="A3">
        <v>18</v>
      </c>
      <c r="B3" t="s">
        <v>173</v>
      </c>
      <c r="C3" t="s">
        <v>203</v>
      </c>
    </row>
    <row r="4" spans="1:3" x14ac:dyDescent="0.25">
      <c r="A4">
        <v>19</v>
      </c>
      <c r="B4" t="s">
        <v>173</v>
      </c>
      <c r="C4" t="s">
        <v>204</v>
      </c>
    </row>
    <row r="5" spans="1:3" x14ac:dyDescent="0.25">
      <c r="A5">
        <v>23</v>
      </c>
      <c r="B5" t="s">
        <v>173</v>
      </c>
      <c r="C5" t="s">
        <v>205</v>
      </c>
    </row>
    <row r="6" spans="1:3" x14ac:dyDescent="0.25">
      <c r="A6">
        <v>24</v>
      </c>
      <c r="B6" t="s">
        <v>173</v>
      </c>
      <c r="C6" t="s">
        <v>206</v>
      </c>
    </row>
    <row r="7" spans="1:3" x14ac:dyDescent="0.25">
      <c r="A7">
        <v>25</v>
      </c>
      <c r="B7" t="s">
        <v>172</v>
      </c>
      <c r="C7" t="s">
        <v>207</v>
      </c>
    </row>
    <row r="8" spans="1:3" x14ac:dyDescent="0.25">
      <c r="A8">
        <v>26</v>
      </c>
      <c r="B8" t="s">
        <v>172</v>
      </c>
      <c r="C8" t="s">
        <v>208</v>
      </c>
    </row>
    <row r="9" spans="1:3" x14ac:dyDescent="0.25">
      <c r="A9">
        <v>27</v>
      </c>
      <c r="B9" t="s">
        <v>172</v>
      </c>
      <c r="C9" t="s">
        <v>209</v>
      </c>
    </row>
    <row r="10" spans="1:3" x14ac:dyDescent="0.25">
      <c r="A10">
        <v>29</v>
      </c>
      <c r="B10" t="s">
        <v>172</v>
      </c>
      <c r="C10" t="s">
        <v>210</v>
      </c>
    </row>
    <row r="11" spans="1:3" x14ac:dyDescent="0.25">
      <c r="A11">
        <v>30</v>
      </c>
      <c r="B11" t="s">
        <v>172</v>
      </c>
      <c r="C11" t="s">
        <v>211</v>
      </c>
    </row>
    <row r="12" spans="1:3" x14ac:dyDescent="0.25">
      <c r="A12">
        <v>31</v>
      </c>
      <c r="B12" t="s">
        <v>172</v>
      </c>
      <c r="C12" t="s">
        <v>212</v>
      </c>
    </row>
    <row r="13" spans="1:3" x14ac:dyDescent="0.25">
      <c r="A13">
        <v>32</v>
      </c>
      <c r="B13" t="s">
        <v>172</v>
      </c>
      <c r="C13" t="s">
        <v>213</v>
      </c>
    </row>
    <row r="14" spans="1:3" x14ac:dyDescent="0.25">
      <c r="A14">
        <v>33</v>
      </c>
      <c r="B14" t="s">
        <v>172</v>
      </c>
      <c r="C14" t="s">
        <v>214</v>
      </c>
    </row>
    <row r="15" spans="1:3" x14ac:dyDescent="0.25">
      <c r="A15">
        <v>34</v>
      </c>
      <c r="B15" t="s">
        <v>172</v>
      </c>
      <c r="C15" t="s">
        <v>215</v>
      </c>
    </row>
    <row r="16" spans="1:3" x14ac:dyDescent="0.25">
      <c r="A16">
        <v>35</v>
      </c>
      <c r="B16" t="s">
        <v>171</v>
      </c>
      <c r="C16" t="s">
        <v>216</v>
      </c>
    </row>
    <row r="17" spans="1:3" x14ac:dyDescent="0.25">
      <c r="A17">
        <v>36</v>
      </c>
      <c r="B17" t="s">
        <v>171</v>
      </c>
      <c r="C17" t="s">
        <v>217</v>
      </c>
    </row>
    <row r="18" spans="1:3" x14ac:dyDescent="0.25">
      <c r="A18">
        <v>37</v>
      </c>
      <c r="B18" t="s">
        <v>171</v>
      </c>
      <c r="C18" t="s">
        <v>218</v>
      </c>
    </row>
    <row r="19" spans="1:3" x14ac:dyDescent="0.25">
      <c r="A19">
        <v>38</v>
      </c>
      <c r="B19" t="s">
        <v>171</v>
      </c>
      <c r="C19" t="s">
        <v>219</v>
      </c>
    </row>
    <row r="20" spans="1:3" x14ac:dyDescent="0.25">
      <c r="A20">
        <v>39</v>
      </c>
      <c r="B20" t="s">
        <v>171</v>
      </c>
      <c r="C20" t="s">
        <v>220</v>
      </c>
    </row>
    <row r="21" spans="1:3" x14ac:dyDescent="0.25">
      <c r="A21">
        <v>40</v>
      </c>
      <c r="B21" t="s">
        <v>171</v>
      </c>
      <c r="C21" t="s">
        <v>221</v>
      </c>
    </row>
    <row r="22" spans="1:3" x14ac:dyDescent="0.25">
      <c r="A22">
        <v>41</v>
      </c>
      <c r="B22" t="s">
        <v>171</v>
      </c>
      <c r="C22" t="s">
        <v>222</v>
      </c>
    </row>
    <row r="23" spans="1:3" x14ac:dyDescent="0.25">
      <c r="A23">
        <v>42</v>
      </c>
      <c r="B23" t="s">
        <v>171</v>
      </c>
      <c r="C23" t="s">
        <v>223</v>
      </c>
    </row>
    <row r="24" spans="1:3" x14ac:dyDescent="0.25">
      <c r="A24">
        <v>44</v>
      </c>
      <c r="B24" t="s">
        <v>171</v>
      </c>
      <c r="C24" t="s">
        <v>224</v>
      </c>
    </row>
    <row r="25" spans="1:3" x14ac:dyDescent="0.25">
      <c r="A25">
        <v>47</v>
      </c>
      <c r="B25" t="s">
        <v>171</v>
      </c>
      <c r="C25" t="s">
        <v>225</v>
      </c>
    </row>
    <row r="26" spans="1:3" x14ac:dyDescent="0.25">
      <c r="A26">
        <v>49</v>
      </c>
      <c r="B26" t="s">
        <v>171</v>
      </c>
      <c r="C26" t="s">
        <v>226</v>
      </c>
    </row>
    <row r="27" spans="1:3" x14ac:dyDescent="0.25">
      <c r="A27">
        <v>56</v>
      </c>
      <c r="B27" t="s">
        <v>171</v>
      </c>
      <c r="C27" t="s">
        <v>227</v>
      </c>
    </row>
    <row r="28" spans="1:3" x14ac:dyDescent="0.25">
      <c r="A28">
        <v>57</v>
      </c>
      <c r="B28" t="s">
        <v>171</v>
      </c>
      <c r="C28" t="s">
        <v>228</v>
      </c>
    </row>
    <row r="29" spans="1:3" x14ac:dyDescent="0.25">
      <c r="A29">
        <v>63</v>
      </c>
      <c r="B29" t="s">
        <v>171</v>
      </c>
      <c r="C29" t="s">
        <v>229</v>
      </c>
    </row>
  </sheetData>
  <sortState xmlns:xlrd2="http://schemas.microsoft.com/office/spreadsheetml/2017/richdata2" ref="A2:A89">
    <sortCondition ref="A2:A89"/>
  </sortState>
  <phoneticPr fontId="18" type="noConversion"/>
  <conditionalFormatting sqref="A2:A29">
    <cfRule type="duplicateValues" dxfId="2" priority="1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73C32-22B9-455B-804E-80C99D79C627}">
  <dimension ref="A1:B89"/>
  <sheetViews>
    <sheetView zoomScaleNormal="100" workbookViewId="0">
      <selection activeCell="C4" sqref="C4"/>
    </sheetView>
  </sheetViews>
  <sheetFormatPr defaultRowHeight="15" x14ac:dyDescent="0.25"/>
  <cols>
    <col min="1" max="1" width="19.42578125" style="5" bestFit="1" customWidth="1"/>
    <col min="2" max="2" width="19.42578125" bestFit="1" customWidth="1"/>
  </cols>
  <sheetData>
    <row r="1" spans="1:2" x14ac:dyDescent="0.25">
      <c r="A1" s="7" t="s">
        <v>6</v>
      </c>
      <c r="B1" s="7" t="s">
        <v>170</v>
      </c>
    </row>
    <row r="2" spans="1:2" x14ac:dyDescent="0.25">
      <c r="A2" s="5" t="s">
        <v>21</v>
      </c>
      <c r="B2" s="5" t="s">
        <v>171</v>
      </c>
    </row>
    <row r="3" spans="1:2" x14ac:dyDescent="0.25">
      <c r="A3" s="5" t="s">
        <v>35</v>
      </c>
      <c r="B3" s="5" t="s">
        <v>172</v>
      </c>
    </row>
    <row r="4" spans="1:2" x14ac:dyDescent="0.25">
      <c r="A4" s="5" t="s">
        <v>42</v>
      </c>
      <c r="B4" s="5" t="s">
        <v>173</v>
      </c>
    </row>
    <row r="5" spans="1:2" x14ac:dyDescent="0.25">
      <c r="A5"/>
    </row>
    <row r="6" spans="1:2" x14ac:dyDescent="0.25">
      <c r="A6"/>
    </row>
    <row r="7" spans="1:2" x14ac:dyDescent="0.25">
      <c r="A7"/>
    </row>
    <row r="8" spans="1:2" x14ac:dyDescent="0.25">
      <c r="A8"/>
    </row>
    <row r="9" spans="1:2" x14ac:dyDescent="0.25">
      <c r="A9"/>
    </row>
    <row r="10" spans="1:2" x14ac:dyDescent="0.25">
      <c r="A10"/>
    </row>
    <row r="11" spans="1:2" x14ac:dyDescent="0.25">
      <c r="A11"/>
    </row>
    <row r="12" spans="1:2" x14ac:dyDescent="0.25">
      <c r="A12"/>
    </row>
    <row r="13" spans="1:2" x14ac:dyDescent="0.25">
      <c r="A13"/>
    </row>
    <row r="14" spans="1:2" x14ac:dyDescent="0.25">
      <c r="A14"/>
    </row>
    <row r="15" spans="1:2" x14ac:dyDescent="0.25">
      <c r="A15"/>
    </row>
    <row r="16" spans="1:2" x14ac:dyDescent="0.25">
      <c r="A16"/>
    </row>
    <row r="17" spans="1:1" x14ac:dyDescent="0.25">
      <c r="A17"/>
    </row>
    <row r="18" spans="1:1" x14ac:dyDescent="0.25">
      <c r="A18"/>
    </row>
    <row r="19" spans="1:1" x14ac:dyDescent="0.25">
      <c r="A19"/>
    </row>
    <row r="20" spans="1:1" x14ac:dyDescent="0.25">
      <c r="A20"/>
    </row>
    <row r="21" spans="1:1" x14ac:dyDescent="0.25">
      <c r="A21"/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  <row r="29" spans="1:1" x14ac:dyDescent="0.25">
      <c r="A29"/>
    </row>
    <row r="30" spans="1:1" x14ac:dyDescent="0.25">
      <c r="A30"/>
    </row>
    <row r="31" spans="1:1" x14ac:dyDescent="0.25">
      <c r="A31"/>
    </row>
    <row r="32" spans="1:1" x14ac:dyDescent="0.25">
      <c r="A32"/>
    </row>
    <row r="33" spans="1:1" x14ac:dyDescent="0.25">
      <c r="A33"/>
    </row>
    <row r="34" spans="1:1" x14ac:dyDescent="0.25">
      <c r="A34"/>
    </row>
    <row r="35" spans="1:1" x14ac:dyDescent="0.25">
      <c r="A35"/>
    </row>
    <row r="36" spans="1:1" x14ac:dyDescent="0.25">
      <c r="A36"/>
    </row>
    <row r="37" spans="1:1" x14ac:dyDescent="0.25">
      <c r="A37"/>
    </row>
    <row r="38" spans="1:1" x14ac:dyDescent="0.25">
      <c r="A38"/>
    </row>
    <row r="39" spans="1:1" x14ac:dyDescent="0.25">
      <c r="A39"/>
    </row>
    <row r="40" spans="1:1" x14ac:dyDescent="0.25">
      <c r="A40"/>
    </row>
    <row r="41" spans="1:1" x14ac:dyDescent="0.25">
      <c r="A41"/>
    </row>
    <row r="42" spans="1:1" x14ac:dyDescent="0.25">
      <c r="A42"/>
    </row>
    <row r="43" spans="1:1" x14ac:dyDescent="0.25">
      <c r="A43"/>
    </row>
    <row r="44" spans="1:1" x14ac:dyDescent="0.25">
      <c r="A44"/>
    </row>
    <row r="45" spans="1:1" x14ac:dyDescent="0.25">
      <c r="A45"/>
    </row>
    <row r="46" spans="1:1" x14ac:dyDescent="0.25">
      <c r="A46"/>
    </row>
    <row r="47" spans="1:1" x14ac:dyDescent="0.25">
      <c r="A47"/>
    </row>
    <row r="48" spans="1:1" x14ac:dyDescent="0.25">
      <c r="A48"/>
    </row>
    <row r="49" spans="1:1" x14ac:dyDescent="0.25">
      <c r="A49"/>
    </row>
    <row r="50" spans="1:1" x14ac:dyDescent="0.25">
      <c r="A50"/>
    </row>
    <row r="51" spans="1:1" x14ac:dyDescent="0.25">
      <c r="A51"/>
    </row>
    <row r="52" spans="1:1" x14ac:dyDescent="0.25">
      <c r="A52"/>
    </row>
    <row r="53" spans="1:1" x14ac:dyDescent="0.25">
      <c r="A53"/>
    </row>
    <row r="54" spans="1:1" x14ac:dyDescent="0.25">
      <c r="A54"/>
    </row>
    <row r="55" spans="1:1" x14ac:dyDescent="0.25">
      <c r="A55"/>
    </row>
    <row r="56" spans="1:1" x14ac:dyDescent="0.25">
      <c r="A56"/>
    </row>
    <row r="57" spans="1:1" x14ac:dyDescent="0.25">
      <c r="A57"/>
    </row>
    <row r="58" spans="1:1" x14ac:dyDescent="0.25">
      <c r="A58"/>
    </row>
    <row r="59" spans="1:1" x14ac:dyDescent="0.25">
      <c r="A59"/>
    </row>
    <row r="60" spans="1:1" x14ac:dyDescent="0.25">
      <c r="A60"/>
    </row>
    <row r="61" spans="1:1" x14ac:dyDescent="0.25">
      <c r="A61"/>
    </row>
    <row r="62" spans="1:1" x14ac:dyDescent="0.25">
      <c r="A62"/>
    </row>
    <row r="63" spans="1:1" x14ac:dyDescent="0.25">
      <c r="A63"/>
    </row>
    <row r="64" spans="1:1" x14ac:dyDescent="0.25">
      <c r="A64"/>
    </row>
    <row r="65" spans="1:1" x14ac:dyDescent="0.25">
      <c r="A65"/>
    </row>
    <row r="66" spans="1:1" x14ac:dyDescent="0.25">
      <c r="A66"/>
    </row>
    <row r="67" spans="1:1" x14ac:dyDescent="0.25">
      <c r="A67"/>
    </row>
    <row r="68" spans="1:1" x14ac:dyDescent="0.25">
      <c r="A68"/>
    </row>
    <row r="69" spans="1:1" x14ac:dyDescent="0.25">
      <c r="A69"/>
    </row>
    <row r="70" spans="1:1" x14ac:dyDescent="0.25">
      <c r="A70"/>
    </row>
    <row r="71" spans="1:1" x14ac:dyDescent="0.25">
      <c r="A71"/>
    </row>
    <row r="72" spans="1:1" x14ac:dyDescent="0.25">
      <c r="A72"/>
    </row>
    <row r="73" spans="1:1" x14ac:dyDescent="0.25">
      <c r="A73"/>
    </row>
    <row r="74" spans="1:1" x14ac:dyDescent="0.25">
      <c r="A74"/>
    </row>
    <row r="75" spans="1:1" x14ac:dyDescent="0.25">
      <c r="A75"/>
    </row>
    <row r="76" spans="1:1" x14ac:dyDescent="0.25">
      <c r="A76"/>
    </row>
    <row r="77" spans="1:1" x14ac:dyDescent="0.25">
      <c r="A77"/>
    </row>
    <row r="78" spans="1:1" x14ac:dyDescent="0.25">
      <c r="A78"/>
    </row>
    <row r="79" spans="1:1" x14ac:dyDescent="0.25">
      <c r="A79"/>
    </row>
    <row r="80" spans="1:1" x14ac:dyDescent="0.25">
      <c r="A80"/>
    </row>
    <row r="81" spans="1:1" x14ac:dyDescent="0.25">
      <c r="A81"/>
    </row>
    <row r="82" spans="1:1" x14ac:dyDescent="0.25">
      <c r="A82"/>
    </row>
    <row r="83" spans="1:1" x14ac:dyDescent="0.25">
      <c r="A83"/>
    </row>
    <row r="84" spans="1:1" x14ac:dyDescent="0.25">
      <c r="A84"/>
    </row>
    <row r="85" spans="1:1" x14ac:dyDescent="0.25">
      <c r="A85"/>
    </row>
    <row r="86" spans="1:1" x14ac:dyDescent="0.25">
      <c r="A86"/>
    </row>
    <row r="87" spans="1:1" x14ac:dyDescent="0.25">
      <c r="A87"/>
    </row>
    <row r="88" spans="1:1" x14ac:dyDescent="0.25">
      <c r="A88"/>
    </row>
    <row r="89" spans="1:1" x14ac:dyDescent="0.25">
      <c r="A89"/>
    </row>
  </sheetData>
  <sortState xmlns:xlrd2="http://schemas.microsoft.com/office/spreadsheetml/2017/richdata2" ref="A2:B4">
    <sortCondition ref="A4"/>
  </sortState>
  <phoneticPr fontId="18" type="noConversion"/>
  <conditionalFormatting sqref="A2:A4">
    <cfRule type="duplicateValues" dxfId="1" priority="2"/>
  </conditionalFormatting>
  <conditionalFormatting sqref="B2:B4">
    <cfRule type="duplicateValues" dxfId="0" priority="1"/>
  </conditionalFormatting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8BAD3-932E-456F-9845-E1D387B9678C}">
  <dimension ref="A1:I89"/>
  <sheetViews>
    <sheetView zoomScaleNormal="100" workbookViewId="0">
      <selection sqref="A1:D75"/>
    </sheetView>
  </sheetViews>
  <sheetFormatPr defaultRowHeight="15" x14ac:dyDescent="0.25"/>
  <cols>
    <col min="1" max="1" width="18.85546875" customWidth="1"/>
    <col min="2" max="2" width="19.42578125" customWidth="1"/>
    <col min="3" max="3" width="14.85546875" bestFit="1" customWidth="1"/>
    <col min="4" max="4" width="14.42578125" customWidth="1"/>
    <col min="5" max="5" width="10.5703125" bestFit="1" customWidth="1"/>
    <col min="6" max="6" width="11.140625" bestFit="1" customWidth="1"/>
    <col min="7" max="8" width="9.85546875" bestFit="1" customWidth="1"/>
    <col min="9" max="9" width="10.85546875" bestFit="1" customWidth="1"/>
  </cols>
  <sheetData>
    <row r="1" spans="1:9" x14ac:dyDescent="0.25">
      <c r="A1" s="6" t="s">
        <v>201</v>
      </c>
      <c r="B1" s="6" t="s">
        <v>7</v>
      </c>
      <c r="C1" s="6" t="s">
        <v>181</v>
      </c>
      <c r="D1" s="6" t="s">
        <v>230</v>
      </c>
    </row>
    <row r="2" spans="1:9" x14ac:dyDescent="0.25">
      <c r="A2" t="s">
        <v>202</v>
      </c>
      <c r="B2" t="s">
        <v>28</v>
      </c>
      <c r="C2" t="s">
        <v>189</v>
      </c>
      <c r="D2" s="4" t="s">
        <v>231</v>
      </c>
      <c r="E2" s="2"/>
      <c r="F2" s="2"/>
      <c r="G2" s="2"/>
      <c r="H2" s="2"/>
      <c r="I2" s="2"/>
    </row>
    <row r="3" spans="1:9" x14ac:dyDescent="0.25">
      <c r="A3" t="s">
        <v>203</v>
      </c>
      <c r="B3" t="s">
        <v>28</v>
      </c>
      <c r="C3" t="s">
        <v>197</v>
      </c>
      <c r="D3" s="4" t="s">
        <v>232</v>
      </c>
      <c r="E3" s="2"/>
      <c r="F3" s="2"/>
      <c r="G3" s="2"/>
      <c r="H3" s="2"/>
      <c r="I3" s="2"/>
    </row>
    <row r="4" spans="1:9" x14ac:dyDescent="0.25">
      <c r="A4" t="s">
        <v>204</v>
      </c>
      <c r="B4" t="s">
        <v>22</v>
      </c>
      <c r="C4" t="s">
        <v>188</v>
      </c>
      <c r="D4" s="4" t="s">
        <v>233</v>
      </c>
      <c r="E4" s="2"/>
      <c r="F4" s="2"/>
      <c r="G4" s="2"/>
      <c r="H4" s="2"/>
      <c r="I4" s="2"/>
    </row>
    <row r="5" spans="1:9" x14ac:dyDescent="0.25">
      <c r="A5" t="s">
        <v>204</v>
      </c>
      <c r="B5" t="s">
        <v>22</v>
      </c>
      <c r="C5" t="s">
        <v>198</v>
      </c>
      <c r="D5" s="4" t="s">
        <v>234</v>
      </c>
      <c r="E5" s="2"/>
      <c r="F5" s="2"/>
      <c r="G5" s="2"/>
      <c r="H5" s="2"/>
      <c r="I5" s="2"/>
    </row>
    <row r="6" spans="1:9" x14ac:dyDescent="0.25">
      <c r="A6" t="s">
        <v>205</v>
      </c>
      <c r="B6" t="s">
        <v>28</v>
      </c>
      <c r="C6" t="s">
        <v>185</v>
      </c>
      <c r="D6" s="4" t="s">
        <v>235</v>
      </c>
      <c r="E6" s="2"/>
      <c r="F6" s="2"/>
      <c r="G6" s="2"/>
      <c r="H6" s="2"/>
      <c r="I6" s="2"/>
    </row>
    <row r="7" spans="1:9" x14ac:dyDescent="0.25">
      <c r="A7" t="s">
        <v>206</v>
      </c>
      <c r="B7" t="s">
        <v>22</v>
      </c>
      <c r="C7" t="s">
        <v>185</v>
      </c>
      <c r="D7" s="4" t="s">
        <v>236</v>
      </c>
      <c r="E7" s="2"/>
      <c r="F7" s="2"/>
      <c r="G7" s="2"/>
      <c r="H7" s="2"/>
      <c r="I7" s="2"/>
    </row>
    <row r="8" spans="1:9" x14ac:dyDescent="0.25">
      <c r="A8" t="s">
        <v>206</v>
      </c>
      <c r="B8" t="s">
        <v>22</v>
      </c>
      <c r="C8" t="s">
        <v>193</v>
      </c>
      <c r="D8" s="4" t="s">
        <v>237</v>
      </c>
      <c r="E8" s="2"/>
      <c r="F8" s="2"/>
      <c r="G8" s="2"/>
      <c r="H8" s="2"/>
      <c r="I8" s="2"/>
    </row>
    <row r="9" spans="1:9" x14ac:dyDescent="0.25">
      <c r="A9" t="s">
        <v>206</v>
      </c>
      <c r="B9" t="s">
        <v>22</v>
      </c>
      <c r="C9" t="s">
        <v>195</v>
      </c>
      <c r="D9" s="4" t="s">
        <v>238</v>
      </c>
      <c r="E9" s="2"/>
      <c r="F9" s="2"/>
      <c r="G9" s="2"/>
      <c r="H9" s="2"/>
      <c r="I9" s="2"/>
    </row>
    <row r="10" spans="1:9" x14ac:dyDescent="0.25">
      <c r="A10" t="s">
        <v>207</v>
      </c>
      <c r="B10" t="s">
        <v>28</v>
      </c>
      <c r="C10" t="s">
        <v>193</v>
      </c>
      <c r="D10" s="4" t="s">
        <v>239</v>
      </c>
      <c r="E10" s="2"/>
      <c r="F10" s="2"/>
      <c r="G10" s="2"/>
      <c r="H10" s="2"/>
      <c r="I10" s="2"/>
    </row>
    <row r="11" spans="1:9" x14ac:dyDescent="0.25">
      <c r="A11" t="s">
        <v>208</v>
      </c>
      <c r="B11" t="s">
        <v>28</v>
      </c>
      <c r="C11" t="s">
        <v>185</v>
      </c>
      <c r="D11" s="4" t="s">
        <v>240</v>
      </c>
      <c r="E11" s="2"/>
      <c r="F11" s="2"/>
      <c r="G11" s="2"/>
      <c r="H11" s="2"/>
      <c r="I11" s="2"/>
    </row>
    <row r="12" spans="1:9" x14ac:dyDescent="0.25">
      <c r="A12" t="s">
        <v>208</v>
      </c>
      <c r="B12" t="s">
        <v>22</v>
      </c>
      <c r="C12" t="s">
        <v>185</v>
      </c>
      <c r="D12" s="4" t="s">
        <v>241</v>
      </c>
      <c r="E12" s="2"/>
      <c r="F12" s="2"/>
      <c r="G12" s="2"/>
      <c r="H12" s="2"/>
      <c r="I12" s="2"/>
    </row>
    <row r="13" spans="1:9" x14ac:dyDescent="0.25">
      <c r="A13" t="s">
        <v>208</v>
      </c>
      <c r="B13" t="s">
        <v>28</v>
      </c>
      <c r="C13" t="s">
        <v>193</v>
      </c>
      <c r="D13" s="4" t="s">
        <v>242</v>
      </c>
      <c r="E13" s="2"/>
      <c r="F13" s="2"/>
      <c r="G13" s="2"/>
      <c r="H13" s="2"/>
      <c r="I13" s="2"/>
    </row>
    <row r="14" spans="1:9" x14ac:dyDescent="0.25">
      <c r="A14" t="s">
        <v>208</v>
      </c>
      <c r="B14" t="s">
        <v>28</v>
      </c>
      <c r="C14" t="s">
        <v>196</v>
      </c>
      <c r="D14" s="4" t="s">
        <v>243</v>
      </c>
      <c r="E14" s="2"/>
      <c r="F14" s="2"/>
      <c r="G14" s="2"/>
      <c r="H14" s="2"/>
      <c r="I14" s="2"/>
    </row>
    <row r="15" spans="1:9" x14ac:dyDescent="0.25">
      <c r="A15" t="s">
        <v>209</v>
      </c>
      <c r="B15" t="s">
        <v>28</v>
      </c>
      <c r="C15" t="s">
        <v>182</v>
      </c>
      <c r="D15" s="4" t="s">
        <v>244</v>
      </c>
      <c r="E15" s="2"/>
      <c r="F15" s="2"/>
      <c r="G15" s="2"/>
      <c r="H15" s="2"/>
      <c r="I15" s="2"/>
    </row>
    <row r="16" spans="1:9" x14ac:dyDescent="0.25">
      <c r="A16" t="s">
        <v>209</v>
      </c>
      <c r="B16" t="s">
        <v>22</v>
      </c>
      <c r="C16" t="s">
        <v>194</v>
      </c>
      <c r="D16" s="4" t="s">
        <v>245</v>
      </c>
      <c r="E16" s="2"/>
      <c r="F16" s="2"/>
      <c r="G16" s="2"/>
      <c r="H16" s="2"/>
      <c r="I16" s="2"/>
    </row>
    <row r="17" spans="1:9" x14ac:dyDescent="0.25">
      <c r="A17" t="s">
        <v>209</v>
      </c>
      <c r="B17" t="s">
        <v>22</v>
      </c>
      <c r="C17" t="s">
        <v>182</v>
      </c>
      <c r="D17" s="4" t="s">
        <v>246</v>
      </c>
      <c r="E17" s="2"/>
      <c r="F17" s="2"/>
      <c r="G17" s="2"/>
      <c r="H17" s="2"/>
      <c r="I17" s="2"/>
    </row>
    <row r="18" spans="1:9" x14ac:dyDescent="0.25">
      <c r="A18" t="s">
        <v>210</v>
      </c>
      <c r="B18" t="s">
        <v>22</v>
      </c>
      <c r="C18" t="s">
        <v>184</v>
      </c>
      <c r="D18" s="4" t="s">
        <v>247</v>
      </c>
      <c r="E18" s="2"/>
      <c r="F18" s="2"/>
      <c r="G18" s="2"/>
      <c r="H18" s="2"/>
      <c r="I18" s="2"/>
    </row>
    <row r="19" spans="1:9" x14ac:dyDescent="0.25">
      <c r="A19" t="s">
        <v>210</v>
      </c>
      <c r="B19" t="s">
        <v>28</v>
      </c>
      <c r="C19" t="s">
        <v>182</v>
      </c>
      <c r="D19" s="4" t="s">
        <v>248</v>
      </c>
      <c r="E19" s="2"/>
      <c r="F19" s="2"/>
      <c r="G19" s="2"/>
      <c r="H19" s="2"/>
      <c r="I19" s="2"/>
    </row>
    <row r="20" spans="1:9" x14ac:dyDescent="0.25">
      <c r="A20" t="s">
        <v>211</v>
      </c>
      <c r="B20" t="s">
        <v>28</v>
      </c>
      <c r="C20" t="s">
        <v>184</v>
      </c>
      <c r="D20" s="4" t="s">
        <v>249</v>
      </c>
      <c r="E20" s="2"/>
      <c r="F20" s="2"/>
      <c r="G20" s="2"/>
      <c r="H20" s="2"/>
      <c r="I20" s="2"/>
    </row>
    <row r="21" spans="1:9" x14ac:dyDescent="0.25">
      <c r="A21" t="s">
        <v>211</v>
      </c>
      <c r="B21" t="s">
        <v>22</v>
      </c>
      <c r="C21" t="s">
        <v>182</v>
      </c>
      <c r="D21" s="4" t="s">
        <v>250</v>
      </c>
      <c r="E21" s="2"/>
      <c r="F21" s="2"/>
      <c r="G21" s="2"/>
      <c r="H21" s="2"/>
      <c r="I21" s="2"/>
    </row>
    <row r="22" spans="1:9" x14ac:dyDescent="0.25">
      <c r="A22" t="s">
        <v>211</v>
      </c>
      <c r="B22" t="s">
        <v>22</v>
      </c>
      <c r="C22" t="s">
        <v>200</v>
      </c>
      <c r="D22" s="4" t="s">
        <v>251</v>
      </c>
      <c r="E22" s="2"/>
      <c r="F22" s="2"/>
      <c r="G22" s="2"/>
      <c r="H22" s="2"/>
      <c r="I22" s="2"/>
    </row>
    <row r="23" spans="1:9" x14ac:dyDescent="0.25">
      <c r="A23" t="s">
        <v>211</v>
      </c>
      <c r="B23" t="s">
        <v>22</v>
      </c>
      <c r="C23" t="s">
        <v>191</v>
      </c>
      <c r="D23" s="4" t="s">
        <v>252</v>
      </c>
      <c r="E23" s="2"/>
      <c r="F23" s="2"/>
      <c r="G23" s="2"/>
      <c r="H23" s="2"/>
      <c r="I23" s="2"/>
    </row>
    <row r="24" spans="1:9" x14ac:dyDescent="0.25">
      <c r="A24" t="s">
        <v>212</v>
      </c>
      <c r="B24" t="s">
        <v>22</v>
      </c>
      <c r="C24" t="s">
        <v>188</v>
      </c>
      <c r="D24" s="4" t="s">
        <v>253</v>
      </c>
      <c r="E24" s="2"/>
      <c r="F24" s="2"/>
      <c r="G24" s="2"/>
      <c r="H24" s="2"/>
      <c r="I24" s="2"/>
    </row>
    <row r="25" spans="1:9" x14ac:dyDescent="0.25">
      <c r="A25" t="s">
        <v>212</v>
      </c>
      <c r="B25" t="s">
        <v>28</v>
      </c>
      <c r="C25" t="s">
        <v>188</v>
      </c>
      <c r="D25" s="4" t="s">
        <v>254</v>
      </c>
      <c r="E25" s="2"/>
      <c r="F25" s="2"/>
      <c r="G25" s="2"/>
      <c r="H25" s="2"/>
      <c r="I25" s="2"/>
    </row>
    <row r="26" spans="1:9" x14ac:dyDescent="0.25">
      <c r="A26" t="s">
        <v>212</v>
      </c>
      <c r="B26" t="s">
        <v>22</v>
      </c>
      <c r="C26" t="s">
        <v>182</v>
      </c>
      <c r="D26" s="4" t="s">
        <v>255</v>
      </c>
      <c r="E26" s="2"/>
      <c r="F26" s="2"/>
      <c r="G26" s="2"/>
      <c r="H26" s="2"/>
      <c r="I26" s="2"/>
    </row>
    <row r="27" spans="1:9" x14ac:dyDescent="0.25">
      <c r="A27" t="s">
        <v>213</v>
      </c>
      <c r="B27" t="s">
        <v>22</v>
      </c>
      <c r="C27" t="s">
        <v>192</v>
      </c>
      <c r="D27" s="4" t="s">
        <v>256</v>
      </c>
      <c r="E27" s="2"/>
      <c r="F27" s="2"/>
      <c r="G27" s="2"/>
      <c r="H27" s="2"/>
      <c r="I27" s="2"/>
    </row>
    <row r="28" spans="1:9" x14ac:dyDescent="0.25">
      <c r="A28" t="s">
        <v>213</v>
      </c>
      <c r="B28" t="s">
        <v>28</v>
      </c>
      <c r="C28" t="s">
        <v>184</v>
      </c>
      <c r="D28" s="4" t="s">
        <v>257</v>
      </c>
      <c r="E28" s="2"/>
      <c r="F28" s="2"/>
      <c r="G28" s="2"/>
      <c r="H28" s="2"/>
      <c r="I28" s="2"/>
    </row>
    <row r="29" spans="1:9" x14ac:dyDescent="0.25">
      <c r="A29" t="s">
        <v>213</v>
      </c>
      <c r="B29" t="s">
        <v>22</v>
      </c>
      <c r="C29" t="s">
        <v>198</v>
      </c>
      <c r="D29" s="4" t="s">
        <v>258</v>
      </c>
      <c r="E29" s="2"/>
      <c r="F29" s="2"/>
      <c r="G29" s="2"/>
      <c r="H29" s="2"/>
      <c r="I29" s="2"/>
    </row>
    <row r="30" spans="1:9" x14ac:dyDescent="0.25">
      <c r="A30" t="s">
        <v>214</v>
      </c>
      <c r="B30" t="s">
        <v>22</v>
      </c>
      <c r="C30" t="s">
        <v>198</v>
      </c>
      <c r="D30" s="4" t="s">
        <v>259</v>
      </c>
      <c r="E30" s="2"/>
      <c r="F30" s="2"/>
      <c r="G30" s="2"/>
      <c r="H30" s="2"/>
      <c r="I30" s="2"/>
    </row>
    <row r="31" spans="1:9" x14ac:dyDescent="0.25">
      <c r="A31" t="s">
        <v>214</v>
      </c>
      <c r="B31" t="s">
        <v>22</v>
      </c>
      <c r="C31" t="s">
        <v>188</v>
      </c>
      <c r="D31" s="4" t="s">
        <v>260</v>
      </c>
      <c r="E31" s="2"/>
      <c r="F31" s="2"/>
      <c r="G31" s="2"/>
      <c r="H31" s="2"/>
      <c r="I31" s="2"/>
    </row>
    <row r="32" spans="1:9" x14ac:dyDescent="0.25">
      <c r="A32" t="s">
        <v>215</v>
      </c>
      <c r="B32" t="s">
        <v>22</v>
      </c>
      <c r="C32" t="s">
        <v>184</v>
      </c>
      <c r="D32" s="4" t="s">
        <v>261</v>
      </c>
      <c r="E32" s="2"/>
      <c r="F32" s="2"/>
      <c r="G32" s="2"/>
      <c r="H32" s="2"/>
      <c r="I32" s="2"/>
    </row>
    <row r="33" spans="1:9" x14ac:dyDescent="0.25">
      <c r="A33" t="s">
        <v>215</v>
      </c>
      <c r="B33" t="s">
        <v>28</v>
      </c>
      <c r="C33" t="s">
        <v>184</v>
      </c>
      <c r="D33" s="4" t="s">
        <v>262</v>
      </c>
      <c r="E33" s="2"/>
      <c r="F33" s="2"/>
      <c r="G33" s="2"/>
      <c r="H33" s="2"/>
      <c r="I33" s="2"/>
    </row>
    <row r="34" spans="1:9" x14ac:dyDescent="0.25">
      <c r="A34" t="s">
        <v>215</v>
      </c>
      <c r="B34" t="s">
        <v>22</v>
      </c>
      <c r="C34" t="s">
        <v>200</v>
      </c>
      <c r="D34" s="4" t="s">
        <v>263</v>
      </c>
      <c r="E34" s="2"/>
      <c r="F34" s="2"/>
      <c r="G34" s="2"/>
      <c r="H34" s="2"/>
      <c r="I34" s="2"/>
    </row>
    <row r="35" spans="1:9" x14ac:dyDescent="0.25">
      <c r="A35" t="s">
        <v>215</v>
      </c>
      <c r="B35" t="s">
        <v>28</v>
      </c>
      <c r="C35" t="s">
        <v>188</v>
      </c>
      <c r="D35" s="4" t="s">
        <v>264</v>
      </c>
      <c r="E35" s="2"/>
      <c r="F35" s="2"/>
      <c r="G35" s="2"/>
      <c r="H35" s="2"/>
      <c r="I35" s="2"/>
    </row>
    <row r="36" spans="1:9" x14ac:dyDescent="0.25">
      <c r="A36" t="s">
        <v>216</v>
      </c>
      <c r="B36" t="s">
        <v>22</v>
      </c>
      <c r="C36" t="s">
        <v>192</v>
      </c>
      <c r="D36" s="4" t="s">
        <v>265</v>
      </c>
      <c r="E36" s="2"/>
      <c r="F36" s="2"/>
      <c r="G36" s="2"/>
      <c r="H36" s="2"/>
      <c r="I36" s="2"/>
    </row>
    <row r="37" spans="1:9" x14ac:dyDescent="0.25">
      <c r="A37" t="s">
        <v>216</v>
      </c>
      <c r="B37" t="s">
        <v>22</v>
      </c>
      <c r="C37" t="s">
        <v>184</v>
      </c>
      <c r="D37" s="4" t="s">
        <v>266</v>
      </c>
      <c r="E37" s="2"/>
      <c r="F37" s="2"/>
      <c r="G37" s="2"/>
      <c r="H37" s="2"/>
      <c r="I37" s="2"/>
    </row>
    <row r="38" spans="1:9" x14ac:dyDescent="0.25">
      <c r="A38" t="s">
        <v>216</v>
      </c>
      <c r="B38" t="s">
        <v>22</v>
      </c>
      <c r="C38" t="s">
        <v>198</v>
      </c>
      <c r="D38" s="4" t="s">
        <v>267</v>
      </c>
      <c r="E38" s="2"/>
      <c r="F38" s="2"/>
      <c r="G38" s="2"/>
      <c r="H38" s="2"/>
      <c r="I38" s="2"/>
    </row>
    <row r="39" spans="1:9" x14ac:dyDescent="0.25">
      <c r="A39" t="s">
        <v>216</v>
      </c>
      <c r="B39" t="s">
        <v>22</v>
      </c>
      <c r="C39" t="s">
        <v>188</v>
      </c>
      <c r="D39" s="4" t="s">
        <v>268</v>
      </c>
      <c r="E39" s="2"/>
      <c r="F39" s="2"/>
      <c r="G39" s="2"/>
      <c r="H39" s="2"/>
      <c r="I39" s="2"/>
    </row>
    <row r="40" spans="1:9" x14ac:dyDescent="0.25">
      <c r="A40" t="s">
        <v>216</v>
      </c>
      <c r="B40" t="s">
        <v>22</v>
      </c>
      <c r="C40" t="s">
        <v>191</v>
      </c>
      <c r="D40" s="4" t="s">
        <v>269</v>
      </c>
      <c r="E40" s="2"/>
      <c r="F40" s="2"/>
      <c r="G40" s="2"/>
      <c r="H40" s="2"/>
      <c r="I40" s="2"/>
    </row>
    <row r="41" spans="1:9" x14ac:dyDescent="0.25">
      <c r="A41" t="s">
        <v>216</v>
      </c>
      <c r="B41" t="s">
        <v>28</v>
      </c>
      <c r="C41" t="s">
        <v>198</v>
      </c>
      <c r="D41" s="4" t="s">
        <v>270</v>
      </c>
      <c r="E41" s="2"/>
      <c r="F41" s="2"/>
      <c r="G41" s="2"/>
      <c r="H41" s="2"/>
      <c r="I41" s="2"/>
    </row>
    <row r="42" spans="1:9" x14ac:dyDescent="0.25">
      <c r="A42" t="s">
        <v>217</v>
      </c>
      <c r="B42" t="s">
        <v>28</v>
      </c>
      <c r="C42" t="s">
        <v>188</v>
      </c>
      <c r="D42" s="4" t="s">
        <v>271</v>
      </c>
      <c r="E42" s="2"/>
      <c r="F42" s="2"/>
      <c r="G42" s="2"/>
      <c r="H42" s="2"/>
      <c r="I42" s="2"/>
    </row>
    <row r="43" spans="1:9" x14ac:dyDescent="0.25">
      <c r="A43" t="s">
        <v>217</v>
      </c>
      <c r="B43" t="s">
        <v>22</v>
      </c>
      <c r="C43" t="s">
        <v>188</v>
      </c>
      <c r="D43" s="4" t="s">
        <v>272</v>
      </c>
      <c r="E43" s="2"/>
      <c r="F43" s="2"/>
      <c r="G43" s="2"/>
      <c r="H43" s="2"/>
      <c r="I43" s="2"/>
    </row>
    <row r="44" spans="1:9" x14ac:dyDescent="0.25">
      <c r="A44" t="s">
        <v>217</v>
      </c>
      <c r="B44" t="s">
        <v>28</v>
      </c>
      <c r="C44" t="s">
        <v>200</v>
      </c>
      <c r="D44" s="4" t="s">
        <v>273</v>
      </c>
      <c r="E44" s="2"/>
      <c r="F44" s="2"/>
      <c r="G44" s="2"/>
      <c r="H44" s="2"/>
      <c r="I44" s="2"/>
    </row>
    <row r="45" spans="1:9" x14ac:dyDescent="0.25">
      <c r="A45" t="s">
        <v>218</v>
      </c>
      <c r="B45" t="s">
        <v>28</v>
      </c>
      <c r="C45" t="s">
        <v>184</v>
      </c>
      <c r="D45" s="4" t="s">
        <v>274</v>
      </c>
      <c r="E45" s="2"/>
      <c r="F45" s="2"/>
      <c r="G45" s="2"/>
      <c r="H45" s="2"/>
      <c r="I45" s="2"/>
    </row>
    <row r="46" spans="1:9" x14ac:dyDescent="0.25">
      <c r="A46" t="s">
        <v>218</v>
      </c>
      <c r="B46" t="s">
        <v>22</v>
      </c>
      <c r="C46" t="s">
        <v>184</v>
      </c>
      <c r="D46" s="4" t="s">
        <v>275</v>
      </c>
      <c r="E46" s="2"/>
      <c r="F46" s="2"/>
      <c r="G46" s="2"/>
      <c r="H46" s="2"/>
      <c r="I46" s="2"/>
    </row>
    <row r="47" spans="1:9" x14ac:dyDescent="0.25">
      <c r="A47" t="s">
        <v>218</v>
      </c>
      <c r="B47" t="s">
        <v>28</v>
      </c>
      <c r="C47" t="s">
        <v>200</v>
      </c>
      <c r="D47" s="4" t="s">
        <v>276</v>
      </c>
      <c r="E47" s="2"/>
      <c r="F47" s="2"/>
      <c r="G47" s="2"/>
      <c r="H47" s="2"/>
      <c r="I47" s="2"/>
    </row>
    <row r="48" spans="1:9" x14ac:dyDescent="0.25">
      <c r="A48" t="s">
        <v>218</v>
      </c>
      <c r="B48" t="s">
        <v>22</v>
      </c>
      <c r="C48" t="s">
        <v>184</v>
      </c>
      <c r="D48" s="4" t="s">
        <v>277</v>
      </c>
      <c r="E48" s="2"/>
      <c r="F48" s="2"/>
      <c r="G48" s="2"/>
      <c r="H48" s="2"/>
      <c r="I48" s="2"/>
    </row>
    <row r="49" spans="1:9" x14ac:dyDescent="0.25">
      <c r="A49" t="s">
        <v>218</v>
      </c>
      <c r="B49" t="s">
        <v>22</v>
      </c>
      <c r="C49" t="s">
        <v>200</v>
      </c>
      <c r="D49" s="4" t="s">
        <v>278</v>
      </c>
      <c r="E49" s="2"/>
      <c r="F49" s="2"/>
      <c r="G49" s="2"/>
      <c r="H49" s="2"/>
      <c r="I49" s="2"/>
    </row>
    <row r="50" spans="1:9" x14ac:dyDescent="0.25">
      <c r="A50" t="s">
        <v>218</v>
      </c>
      <c r="B50" t="s">
        <v>28</v>
      </c>
      <c r="C50" t="s">
        <v>191</v>
      </c>
      <c r="D50" s="4" t="s">
        <v>279</v>
      </c>
      <c r="E50" s="2"/>
      <c r="F50" s="2"/>
      <c r="G50" s="2"/>
      <c r="H50" s="2"/>
      <c r="I50" s="2"/>
    </row>
    <row r="51" spans="1:9" x14ac:dyDescent="0.25">
      <c r="A51" t="s">
        <v>219</v>
      </c>
      <c r="B51" t="s">
        <v>28</v>
      </c>
      <c r="C51" t="s">
        <v>184</v>
      </c>
      <c r="D51" s="4" t="s">
        <v>280</v>
      </c>
      <c r="E51" s="2"/>
      <c r="F51" s="2"/>
      <c r="G51" s="2"/>
      <c r="H51" s="2"/>
      <c r="I51" s="2"/>
    </row>
    <row r="52" spans="1:9" x14ac:dyDescent="0.25">
      <c r="A52" t="s">
        <v>219</v>
      </c>
      <c r="B52" t="s">
        <v>28</v>
      </c>
      <c r="C52" t="s">
        <v>188</v>
      </c>
      <c r="D52" s="4" t="s">
        <v>281</v>
      </c>
      <c r="E52" s="2"/>
      <c r="F52" s="2"/>
      <c r="G52" s="2"/>
      <c r="H52" s="2"/>
      <c r="I52" s="2"/>
    </row>
    <row r="53" spans="1:9" x14ac:dyDescent="0.25">
      <c r="A53" t="s">
        <v>219</v>
      </c>
      <c r="B53" t="s">
        <v>22</v>
      </c>
      <c r="C53" t="s">
        <v>184</v>
      </c>
      <c r="D53" s="4" t="s">
        <v>282</v>
      </c>
      <c r="E53" s="2"/>
      <c r="F53" s="2"/>
      <c r="G53" s="2"/>
      <c r="H53" s="2"/>
      <c r="I53" s="2"/>
    </row>
    <row r="54" spans="1:9" x14ac:dyDescent="0.25">
      <c r="A54" t="s">
        <v>219</v>
      </c>
      <c r="B54" t="s">
        <v>22</v>
      </c>
      <c r="C54" t="s">
        <v>200</v>
      </c>
      <c r="D54" s="4" t="s">
        <v>283</v>
      </c>
      <c r="E54" s="2"/>
      <c r="F54" s="2"/>
      <c r="G54" s="2"/>
      <c r="H54" s="2"/>
      <c r="I54" s="2"/>
    </row>
    <row r="55" spans="1:9" x14ac:dyDescent="0.25">
      <c r="A55" t="s">
        <v>219</v>
      </c>
      <c r="B55" t="s">
        <v>22</v>
      </c>
      <c r="C55" t="s">
        <v>190</v>
      </c>
      <c r="D55" s="4" t="s">
        <v>284</v>
      </c>
      <c r="E55" s="2"/>
      <c r="F55" s="2"/>
      <c r="G55" s="2"/>
      <c r="H55" s="2"/>
      <c r="I55" s="2"/>
    </row>
    <row r="56" spans="1:9" x14ac:dyDescent="0.25">
      <c r="A56" t="s">
        <v>219</v>
      </c>
      <c r="B56" t="s">
        <v>28</v>
      </c>
      <c r="C56" t="s">
        <v>192</v>
      </c>
      <c r="D56" s="4" t="s">
        <v>285</v>
      </c>
      <c r="E56" s="2"/>
      <c r="F56" s="2"/>
      <c r="G56" s="2"/>
      <c r="H56" s="2"/>
      <c r="I56" s="2"/>
    </row>
    <row r="57" spans="1:9" x14ac:dyDescent="0.25">
      <c r="A57" t="s">
        <v>220</v>
      </c>
      <c r="B57" t="s">
        <v>22</v>
      </c>
      <c r="C57" t="s">
        <v>184</v>
      </c>
      <c r="D57" s="4" t="s">
        <v>286</v>
      </c>
      <c r="E57" s="2"/>
      <c r="F57" s="2"/>
      <c r="G57" s="2"/>
      <c r="H57" s="2"/>
      <c r="I57" s="2"/>
    </row>
    <row r="58" spans="1:9" x14ac:dyDescent="0.25">
      <c r="A58" t="s">
        <v>220</v>
      </c>
      <c r="B58" t="s">
        <v>22</v>
      </c>
      <c r="C58" t="s">
        <v>191</v>
      </c>
      <c r="D58" s="4" t="s">
        <v>287</v>
      </c>
      <c r="E58" s="2"/>
      <c r="F58" s="2"/>
      <c r="G58" s="2"/>
      <c r="H58" s="2"/>
      <c r="I58" s="2"/>
    </row>
    <row r="59" spans="1:9" x14ac:dyDescent="0.25">
      <c r="A59" t="s">
        <v>220</v>
      </c>
      <c r="B59" t="s">
        <v>28</v>
      </c>
      <c r="C59" t="s">
        <v>184</v>
      </c>
      <c r="D59" s="4" t="s">
        <v>288</v>
      </c>
      <c r="E59" s="2"/>
      <c r="F59" s="2"/>
      <c r="G59" s="2"/>
      <c r="H59" s="2"/>
      <c r="I59" s="2"/>
    </row>
    <row r="60" spans="1:9" x14ac:dyDescent="0.25">
      <c r="A60" t="s">
        <v>220</v>
      </c>
      <c r="B60" t="s">
        <v>22</v>
      </c>
      <c r="C60" t="s">
        <v>200</v>
      </c>
      <c r="D60" s="4" t="s">
        <v>289</v>
      </c>
      <c r="E60" s="2"/>
      <c r="F60" s="2"/>
      <c r="G60" s="2"/>
      <c r="H60" s="2"/>
      <c r="I60" s="2"/>
    </row>
    <row r="61" spans="1:9" x14ac:dyDescent="0.25">
      <c r="A61" t="s">
        <v>221</v>
      </c>
      <c r="B61" t="s">
        <v>28</v>
      </c>
      <c r="C61" t="s">
        <v>188</v>
      </c>
      <c r="D61" s="4" t="s">
        <v>290</v>
      </c>
      <c r="E61" s="2"/>
      <c r="F61" s="2"/>
      <c r="G61" s="2"/>
      <c r="H61" s="2"/>
      <c r="I61" s="2"/>
    </row>
    <row r="62" spans="1:9" x14ac:dyDescent="0.25">
      <c r="A62" t="s">
        <v>221</v>
      </c>
      <c r="B62" t="s">
        <v>22</v>
      </c>
      <c r="C62" t="s">
        <v>184</v>
      </c>
      <c r="D62" s="4" t="s">
        <v>291</v>
      </c>
      <c r="E62" s="2"/>
      <c r="F62" s="2"/>
      <c r="G62" s="2"/>
      <c r="H62" s="2"/>
      <c r="I62" s="2"/>
    </row>
    <row r="63" spans="1:9" x14ac:dyDescent="0.25">
      <c r="A63" t="s">
        <v>222</v>
      </c>
      <c r="B63" t="s">
        <v>22</v>
      </c>
      <c r="C63" t="s">
        <v>186</v>
      </c>
      <c r="D63" s="4" t="s">
        <v>292</v>
      </c>
      <c r="E63" s="2"/>
      <c r="F63" s="2"/>
      <c r="G63" s="2"/>
      <c r="H63" s="2"/>
      <c r="I63" s="2"/>
    </row>
    <row r="64" spans="1:9" x14ac:dyDescent="0.25">
      <c r="A64" t="s">
        <v>222</v>
      </c>
      <c r="B64" t="s">
        <v>22</v>
      </c>
      <c r="C64" t="s">
        <v>188</v>
      </c>
      <c r="D64" s="4" t="s">
        <v>293</v>
      </c>
      <c r="E64" s="2"/>
      <c r="F64" s="2"/>
      <c r="G64" s="2"/>
      <c r="H64" s="2"/>
      <c r="I64" s="2"/>
    </row>
    <row r="65" spans="1:9" x14ac:dyDescent="0.25">
      <c r="A65" t="s">
        <v>222</v>
      </c>
      <c r="B65" t="s">
        <v>28</v>
      </c>
      <c r="C65" t="s">
        <v>184</v>
      </c>
      <c r="D65" s="4" t="s">
        <v>294</v>
      </c>
      <c r="E65" s="2"/>
      <c r="F65" s="2"/>
      <c r="G65" s="2"/>
      <c r="H65" s="2"/>
      <c r="I65" s="2"/>
    </row>
    <row r="66" spans="1:9" x14ac:dyDescent="0.25">
      <c r="A66" t="s">
        <v>222</v>
      </c>
      <c r="B66" t="s">
        <v>28</v>
      </c>
      <c r="C66" t="s">
        <v>187</v>
      </c>
      <c r="D66" s="4" t="s">
        <v>295</v>
      </c>
      <c r="E66" s="2"/>
      <c r="F66" s="2"/>
      <c r="G66" s="2"/>
      <c r="H66" s="2"/>
      <c r="I66" s="2"/>
    </row>
    <row r="67" spans="1:9" x14ac:dyDescent="0.25">
      <c r="A67" t="s">
        <v>223</v>
      </c>
      <c r="B67" t="s">
        <v>28</v>
      </c>
      <c r="C67" t="s">
        <v>190</v>
      </c>
      <c r="D67" s="4" t="s">
        <v>296</v>
      </c>
      <c r="E67" s="2"/>
      <c r="F67" s="2"/>
      <c r="G67" s="2"/>
      <c r="H67" s="2"/>
      <c r="I67" s="2"/>
    </row>
    <row r="68" spans="1:9" x14ac:dyDescent="0.25">
      <c r="A68" t="s">
        <v>223</v>
      </c>
      <c r="B68" t="s">
        <v>22</v>
      </c>
      <c r="C68" t="s">
        <v>190</v>
      </c>
      <c r="D68" s="4" t="s">
        <v>297</v>
      </c>
      <c r="E68" s="2"/>
      <c r="F68" s="2"/>
      <c r="G68" s="2"/>
      <c r="H68" s="2"/>
      <c r="I68" s="2"/>
    </row>
    <row r="69" spans="1:9" x14ac:dyDescent="0.25">
      <c r="A69" t="s">
        <v>224</v>
      </c>
      <c r="B69" t="s">
        <v>28</v>
      </c>
      <c r="C69" t="s">
        <v>185</v>
      </c>
      <c r="D69" s="4" t="s">
        <v>298</v>
      </c>
      <c r="E69" s="2"/>
      <c r="F69" s="2"/>
      <c r="G69" s="2"/>
      <c r="H69" s="2"/>
      <c r="I69" s="2"/>
    </row>
    <row r="70" spans="1:9" x14ac:dyDescent="0.25">
      <c r="A70" t="s">
        <v>224</v>
      </c>
      <c r="B70" t="s">
        <v>22</v>
      </c>
      <c r="C70" t="s">
        <v>185</v>
      </c>
      <c r="D70" s="4" t="s">
        <v>299</v>
      </c>
      <c r="E70" s="2"/>
      <c r="F70" s="2"/>
      <c r="G70" s="2"/>
      <c r="H70" s="2"/>
      <c r="I70" s="2"/>
    </row>
    <row r="71" spans="1:9" x14ac:dyDescent="0.25">
      <c r="A71" t="s">
        <v>225</v>
      </c>
      <c r="B71" t="s">
        <v>28</v>
      </c>
      <c r="C71" t="s">
        <v>185</v>
      </c>
      <c r="D71" s="4" t="s">
        <v>300</v>
      </c>
      <c r="E71" s="2"/>
      <c r="F71" s="2"/>
      <c r="G71" s="2"/>
      <c r="H71" s="2"/>
      <c r="I71" s="2"/>
    </row>
    <row r="72" spans="1:9" x14ac:dyDescent="0.25">
      <c r="A72" t="s">
        <v>226</v>
      </c>
      <c r="B72" t="s">
        <v>28</v>
      </c>
      <c r="C72" t="s">
        <v>185</v>
      </c>
      <c r="D72" s="4" t="s">
        <v>301</v>
      </c>
      <c r="E72" s="2"/>
      <c r="F72" s="2"/>
      <c r="G72" s="2"/>
      <c r="H72" s="2"/>
      <c r="I72" s="2"/>
    </row>
    <row r="73" spans="1:9" x14ac:dyDescent="0.25">
      <c r="A73" t="s">
        <v>227</v>
      </c>
      <c r="B73" t="s">
        <v>22</v>
      </c>
      <c r="C73" t="s">
        <v>187</v>
      </c>
      <c r="D73" s="4" t="s">
        <v>302</v>
      </c>
      <c r="E73" s="2"/>
      <c r="F73" s="2"/>
      <c r="G73" s="2"/>
      <c r="H73" s="2"/>
      <c r="I73" s="2"/>
    </row>
    <row r="74" spans="1:9" x14ac:dyDescent="0.25">
      <c r="A74" t="s">
        <v>228</v>
      </c>
      <c r="B74" t="s">
        <v>28</v>
      </c>
      <c r="C74" t="s">
        <v>192</v>
      </c>
      <c r="D74" s="4" t="s">
        <v>303</v>
      </c>
      <c r="E74" s="2"/>
      <c r="F74" s="2"/>
      <c r="G74" s="2"/>
      <c r="H74" s="2"/>
      <c r="I74" s="2"/>
    </row>
    <row r="75" spans="1:9" x14ac:dyDescent="0.25">
      <c r="A75" t="s">
        <v>229</v>
      </c>
      <c r="B75" t="s">
        <v>22</v>
      </c>
      <c r="C75" t="s">
        <v>192</v>
      </c>
      <c r="D75" s="4" t="s">
        <v>304</v>
      </c>
      <c r="E75" s="2"/>
      <c r="F75" s="2"/>
      <c r="G75" s="2"/>
      <c r="H75" s="2"/>
      <c r="I75" s="2"/>
    </row>
    <row r="76" spans="1:9" x14ac:dyDescent="0.25">
      <c r="D76" s="4"/>
      <c r="E76" s="2"/>
      <c r="F76" s="2"/>
      <c r="G76" s="2"/>
      <c r="H76" s="2"/>
      <c r="I76" s="2"/>
    </row>
    <row r="77" spans="1:9" x14ac:dyDescent="0.25">
      <c r="D77" s="4"/>
      <c r="E77" s="2"/>
      <c r="F77" s="2"/>
      <c r="G77" s="2"/>
      <c r="H77" s="2"/>
      <c r="I77" s="2"/>
    </row>
    <row r="78" spans="1:9" x14ac:dyDescent="0.25">
      <c r="D78" s="4"/>
      <c r="E78" s="2"/>
      <c r="F78" s="2"/>
      <c r="G78" s="2"/>
      <c r="H78" s="2"/>
      <c r="I78" s="2"/>
    </row>
    <row r="79" spans="1:9" x14ac:dyDescent="0.25">
      <c r="D79" s="4"/>
      <c r="E79" s="2"/>
      <c r="F79" s="2"/>
      <c r="G79" s="2"/>
      <c r="H79" s="2"/>
      <c r="I79" s="2"/>
    </row>
    <row r="80" spans="1:9" x14ac:dyDescent="0.25">
      <c r="D80" s="4"/>
      <c r="E80" s="2"/>
      <c r="F80" s="2"/>
      <c r="G80" s="2"/>
      <c r="H80" s="2"/>
      <c r="I80" s="2"/>
    </row>
    <row r="81" spans="4:9" x14ac:dyDescent="0.25">
      <c r="D81" s="4"/>
      <c r="E81" s="2"/>
      <c r="F81" s="2"/>
      <c r="G81" s="2"/>
      <c r="H81" s="2"/>
      <c r="I81" s="2"/>
    </row>
    <row r="82" spans="4:9" x14ac:dyDescent="0.25">
      <c r="D82" s="4"/>
      <c r="E82" s="2"/>
      <c r="F82" s="2"/>
      <c r="G82" s="2"/>
      <c r="H82" s="2"/>
      <c r="I82" s="2"/>
    </row>
    <row r="83" spans="4:9" x14ac:dyDescent="0.25">
      <c r="D83" s="4"/>
      <c r="E83" s="2"/>
      <c r="F83" s="2"/>
      <c r="G83" s="2"/>
      <c r="H83" s="2"/>
      <c r="I83" s="2"/>
    </row>
    <row r="84" spans="4:9" x14ac:dyDescent="0.25">
      <c r="D84" s="4"/>
      <c r="E84" s="2"/>
      <c r="F84" s="2"/>
      <c r="G84" s="2"/>
      <c r="H84" s="2"/>
      <c r="I84" s="2"/>
    </row>
    <row r="85" spans="4:9" x14ac:dyDescent="0.25">
      <c r="D85" s="4"/>
      <c r="E85" s="2"/>
      <c r="F85" s="2"/>
      <c r="G85" s="2"/>
      <c r="H85" s="2"/>
      <c r="I85" s="2"/>
    </row>
    <row r="86" spans="4:9" x14ac:dyDescent="0.25">
      <c r="D86" s="4"/>
      <c r="E86" s="2"/>
      <c r="F86" s="2"/>
      <c r="G86" s="2"/>
      <c r="H86" s="2"/>
      <c r="I86" s="2"/>
    </row>
    <row r="87" spans="4:9" x14ac:dyDescent="0.25">
      <c r="D87" s="4"/>
      <c r="E87" s="2"/>
      <c r="F87" s="2"/>
      <c r="G87" s="2"/>
      <c r="H87" s="2"/>
      <c r="I87" s="2"/>
    </row>
    <row r="88" spans="4:9" x14ac:dyDescent="0.25">
      <c r="D88" s="4"/>
      <c r="E88" s="2"/>
      <c r="F88" s="2"/>
      <c r="G88" s="2"/>
      <c r="H88" s="2"/>
      <c r="I88" s="2"/>
    </row>
    <row r="89" spans="4:9" x14ac:dyDescent="0.25">
      <c r="D89" s="4"/>
      <c r="E89" s="2"/>
      <c r="F89" s="2"/>
      <c r="G89" s="2"/>
      <c r="H89" s="2"/>
      <c r="I89" s="2"/>
    </row>
  </sheetData>
  <sortState xmlns:xlrd2="http://schemas.microsoft.com/office/spreadsheetml/2017/richdata2" ref="A2:D75">
    <sortCondition ref="A2:A75"/>
  </sortState>
  <dataConsolidate/>
  <phoneticPr fontId="1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9"/>
  <sheetViews>
    <sheetView zoomScaleNormal="100" workbookViewId="0">
      <selection activeCell="E8" sqref="A2:J89"/>
    </sheetView>
  </sheetViews>
  <sheetFormatPr defaultRowHeight="15" x14ac:dyDescent="0.25"/>
  <cols>
    <col min="1" max="1" width="15.28515625" customWidth="1"/>
    <col min="2" max="2" width="10.7109375" bestFit="1" customWidth="1"/>
    <col min="3" max="3" width="20.28515625" customWidth="1"/>
    <col min="4" max="4" width="25.7109375" customWidth="1"/>
    <col min="5" max="5" width="17" customWidth="1"/>
    <col min="6" max="6" width="12.7109375" customWidth="1"/>
    <col min="7" max="7" width="13.28515625" customWidth="1"/>
    <col min="8" max="9" width="9.85546875" bestFit="1" customWidth="1"/>
    <col min="10" max="10" width="11" customWidth="1"/>
    <col min="13" max="13" width="11" customWidth="1"/>
  </cols>
  <sheetData>
    <row r="1" spans="1:10" s="6" customFormat="1" x14ac:dyDescent="0.25">
      <c r="A1" s="6" t="s">
        <v>0</v>
      </c>
      <c r="B1" s="6" t="s">
        <v>1</v>
      </c>
      <c r="C1" s="6" t="s">
        <v>230</v>
      </c>
      <c r="D1" s="8" t="s">
        <v>310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</row>
    <row r="2" spans="1:10" x14ac:dyDescent="0.25">
      <c r="A2" s="3" t="s">
        <v>157</v>
      </c>
      <c r="B2" s="1">
        <v>44531</v>
      </c>
      <c r="C2" t="s">
        <v>289</v>
      </c>
      <c r="D2" s="4" t="s">
        <v>313</v>
      </c>
      <c r="E2">
        <v>4</v>
      </c>
      <c r="F2" s="2">
        <v>1252</v>
      </c>
      <c r="G2" s="2">
        <v>2295</v>
      </c>
      <c r="H2" s="2">
        <v>4172</v>
      </c>
      <c r="I2" s="2">
        <f>E2*F2</f>
        <v>5008</v>
      </c>
      <c r="J2" s="2">
        <f>E2*G2</f>
        <v>9180</v>
      </c>
    </row>
    <row r="3" spans="1:10" x14ac:dyDescent="0.25">
      <c r="A3" s="3" t="s">
        <v>19</v>
      </c>
      <c r="B3" s="1">
        <v>44531</v>
      </c>
      <c r="C3" t="s">
        <v>299</v>
      </c>
      <c r="D3" s="4" t="s">
        <v>313</v>
      </c>
      <c r="E3">
        <v>1</v>
      </c>
      <c r="F3" s="2">
        <v>1266</v>
      </c>
      <c r="G3" s="2">
        <v>2320</v>
      </c>
      <c r="H3" s="2">
        <v>1054</v>
      </c>
      <c r="I3" s="2">
        <f t="shared" ref="I3:I66" si="0">E3*F3</f>
        <v>1266</v>
      </c>
      <c r="J3" s="2">
        <f t="shared" ref="J3:J66" si="1">E3*G3</f>
        <v>2320</v>
      </c>
    </row>
    <row r="4" spans="1:10" x14ac:dyDescent="0.25">
      <c r="A4" s="3" t="s">
        <v>32</v>
      </c>
      <c r="B4" s="1">
        <v>44532</v>
      </c>
      <c r="C4" t="s">
        <v>279</v>
      </c>
      <c r="D4" s="4" t="s">
        <v>327</v>
      </c>
      <c r="E4">
        <v>2</v>
      </c>
      <c r="F4" s="2">
        <v>420</v>
      </c>
      <c r="G4" s="2">
        <v>769</v>
      </c>
      <c r="H4" s="2">
        <v>698</v>
      </c>
      <c r="I4" s="2">
        <f t="shared" si="0"/>
        <v>840</v>
      </c>
      <c r="J4" s="2">
        <f t="shared" si="1"/>
        <v>1538</v>
      </c>
    </row>
    <row r="5" spans="1:10" x14ac:dyDescent="0.25">
      <c r="A5" s="3" t="s">
        <v>34</v>
      </c>
      <c r="B5" s="1">
        <v>44532</v>
      </c>
      <c r="C5" t="s">
        <v>255</v>
      </c>
      <c r="D5" s="4" t="s">
        <v>327</v>
      </c>
      <c r="E5">
        <v>1</v>
      </c>
      <c r="F5" s="2">
        <v>420</v>
      </c>
      <c r="G5" s="2">
        <v>769</v>
      </c>
      <c r="H5" s="2">
        <v>349</v>
      </c>
      <c r="I5" s="2">
        <f t="shared" si="0"/>
        <v>420</v>
      </c>
      <c r="J5" s="2">
        <f t="shared" si="1"/>
        <v>769</v>
      </c>
    </row>
    <row r="6" spans="1:10" x14ac:dyDescent="0.25">
      <c r="A6" s="3" t="s">
        <v>39</v>
      </c>
      <c r="B6" s="1">
        <v>44533</v>
      </c>
      <c r="C6" t="s">
        <v>279</v>
      </c>
      <c r="D6" s="4" t="s">
        <v>313</v>
      </c>
      <c r="E6">
        <v>2</v>
      </c>
      <c r="F6" s="2">
        <v>1252</v>
      </c>
      <c r="G6" s="2">
        <v>2295</v>
      </c>
      <c r="H6" s="2">
        <v>2086</v>
      </c>
      <c r="I6" s="2">
        <f t="shared" si="0"/>
        <v>2504</v>
      </c>
      <c r="J6" s="2">
        <f t="shared" si="1"/>
        <v>4590</v>
      </c>
    </row>
    <row r="7" spans="1:10" x14ac:dyDescent="0.25">
      <c r="A7" s="3" t="s">
        <v>41</v>
      </c>
      <c r="B7" s="1">
        <v>44533</v>
      </c>
      <c r="C7" t="s">
        <v>238</v>
      </c>
      <c r="D7" s="4" t="s">
        <v>313</v>
      </c>
      <c r="E7">
        <v>1</v>
      </c>
      <c r="F7" s="2">
        <v>1252</v>
      </c>
      <c r="G7" s="2">
        <v>2295</v>
      </c>
      <c r="H7" s="2">
        <v>1043</v>
      </c>
      <c r="I7" s="2">
        <f t="shared" si="0"/>
        <v>1252</v>
      </c>
      <c r="J7" s="2">
        <f t="shared" si="1"/>
        <v>2295</v>
      </c>
    </row>
    <row r="8" spans="1:10" x14ac:dyDescent="0.25">
      <c r="A8" s="3" t="s">
        <v>44</v>
      </c>
      <c r="B8" s="1">
        <v>44533</v>
      </c>
      <c r="C8" t="s">
        <v>279</v>
      </c>
      <c r="D8" s="4" t="s">
        <v>313</v>
      </c>
      <c r="E8">
        <v>1</v>
      </c>
      <c r="F8" s="2">
        <v>1252</v>
      </c>
      <c r="G8" s="2">
        <v>2295</v>
      </c>
      <c r="H8" s="2">
        <v>1043</v>
      </c>
      <c r="I8" s="2">
        <f t="shared" si="0"/>
        <v>1252</v>
      </c>
      <c r="J8" s="2">
        <f t="shared" si="1"/>
        <v>2295</v>
      </c>
    </row>
    <row r="9" spans="1:10" x14ac:dyDescent="0.25">
      <c r="A9" s="3" t="s">
        <v>47</v>
      </c>
      <c r="B9" s="1">
        <v>44534</v>
      </c>
      <c r="C9" t="s">
        <v>255</v>
      </c>
      <c r="D9" s="4" t="s">
        <v>327</v>
      </c>
      <c r="E9">
        <v>4</v>
      </c>
      <c r="F9" s="2">
        <v>420</v>
      </c>
      <c r="G9" s="2">
        <v>769</v>
      </c>
      <c r="H9" s="2">
        <v>1396</v>
      </c>
      <c r="I9" s="2">
        <f t="shared" si="0"/>
        <v>1680</v>
      </c>
      <c r="J9" s="2">
        <f t="shared" si="1"/>
        <v>3076</v>
      </c>
    </row>
    <row r="10" spans="1:10" x14ac:dyDescent="0.25">
      <c r="A10" s="3" t="s">
        <v>48</v>
      </c>
      <c r="B10" s="1">
        <v>44535</v>
      </c>
      <c r="C10" t="s">
        <v>289</v>
      </c>
      <c r="D10" s="4" t="s">
        <v>313</v>
      </c>
      <c r="E10">
        <v>4</v>
      </c>
      <c r="F10" s="2">
        <v>1252</v>
      </c>
      <c r="G10" s="2">
        <v>2295</v>
      </c>
      <c r="H10" s="2">
        <v>4172</v>
      </c>
      <c r="I10" s="2">
        <f t="shared" si="0"/>
        <v>5008</v>
      </c>
      <c r="J10" s="2">
        <f t="shared" si="1"/>
        <v>9180</v>
      </c>
    </row>
    <row r="11" spans="1:10" x14ac:dyDescent="0.25">
      <c r="A11" s="3" t="s">
        <v>49</v>
      </c>
      <c r="B11" s="1">
        <v>44535</v>
      </c>
      <c r="C11" t="s">
        <v>297</v>
      </c>
      <c r="D11" s="4" t="s">
        <v>313</v>
      </c>
      <c r="E11">
        <v>4</v>
      </c>
      <c r="F11" s="2">
        <v>1252</v>
      </c>
      <c r="G11" s="2">
        <v>2295</v>
      </c>
      <c r="H11" s="2">
        <v>4172</v>
      </c>
      <c r="I11" s="2">
        <f t="shared" si="0"/>
        <v>5008</v>
      </c>
      <c r="J11" s="2">
        <f t="shared" si="1"/>
        <v>9180</v>
      </c>
    </row>
    <row r="12" spans="1:10" x14ac:dyDescent="0.25">
      <c r="A12" s="3" t="s">
        <v>52</v>
      </c>
      <c r="B12" s="1">
        <v>44535</v>
      </c>
      <c r="C12" t="s">
        <v>270</v>
      </c>
      <c r="D12" s="4" t="s">
        <v>313</v>
      </c>
      <c r="E12">
        <v>1</v>
      </c>
      <c r="F12" s="2">
        <v>1266</v>
      </c>
      <c r="G12" s="2">
        <v>2320</v>
      </c>
      <c r="H12" s="2">
        <v>1054</v>
      </c>
      <c r="I12" s="2">
        <f t="shared" si="0"/>
        <v>1266</v>
      </c>
      <c r="J12" s="2">
        <f t="shared" si="1"/>
        <v>2320</v>
      </c>
    </row>
    <row r="13" spans="1:10" x14ac:dyDescent="0.25">
      <c r="A13" s="3" t="s">
        <v>55</v>
      </c>
      <c r="B13" s="1">
        <v>44535</v>
      </c>
      <c r="C13" t="s">
        <v>279</v>
      </c>
      <c r="D13" s="4" t="s">
        <v>313</v>
      </c>
      <c r="E13">
        <v>1</v>
      </c>
      <c r="F13" s="2">
        <v>1252</v>
      </c>
      <c r="G13" s="2">
        <v>2295</v>
      </c>
      <c r="H13" s="2">
        <v>1043</v>
      </c>
      <c r="I13" s="2">
        <f t="shared" si="0"/>
        <v>1252</v>
      </c>
      <c r="J13" s="2">
        <f t="shared" si="1"/>
        <v>2295</v>
      </c>
    </row>
    <row r="14" spans="1:10" x14ac:dyDescent="0.25">
      <c r="A14" s="3" t="s">
        <v>56</v>
      </c>
      <c r="B14" s="1">
        <v>44536</v>
      </c>
      <c r="C14" t="s">
        <v>235</v>
      </c>
      <c r="D14" s="4" t="s">
        <v>327</v>
      </c>
      <c r="E14">
        <v>3</v>
      </c>
      <c r="F14" s="2">
        <v>420</v>
      </c>
      <c r="G14" s="2">
        <v>769</v>
      </c>
      <c r="H14" s="2">
        <v>1047</v>
      </c>
      <c r="I14" s="2">
        <f t="shared" si="0"/>
        <v>1260</v>
      </c>
      <c r="J14" s="2">
        <f t="shared" si="1"/>
        <v>2307</v>
      </c>
    </row>
    <row r="15" spans="1:10" x14ac:dyDescent="0.25">
      <c r="A15" s="3" t="s">
        <v>57</v>
      </c>
      <c r="B15" s="1">
        <v>44536</v>
      </c>
      <c r="C15" t="s">
        <v>246</v>
      </c>
      <c r="D15" s="4" t="s">
        <v>313</v>
      </c>
      <c r="E15">
        <v>1</v>
      </c>
      <c r="F15" s="2">
        <v>1252</v>
      </c>
      <c r="G15" s="2">
        <v>2295</v>
      </c>
      <c r="H15" s="2">
        <v>1043</v>
      </c>
      <c r="I15" s="2">
        <f t="shared" si="0"/>
        <v>1252</v>
      </c>
      <c r="J15" s="2">
        <f t="shared" si="1"/>
        <v>2295</v>
      </c>
    </row>
    <row r="16" spans="1:10" x14ac:dyDescent="0.25">
      <c r="A16" s="3" t="s">
        <v>60</v>
      </c>
      <c r="B16" s="1">
        <v>44536</v>
      </c>
      <c r="C16" t="s">
        <v>273</v>
      </c>
      <c r="D16" s="4" t="s">
        <v>313</v>
      </c>
      <c r="E16">
        <v>1</v>
      </c>
      <c r="F16" s="2">
        <v>1252</v>
      </c>
      <c r="G16" s="2">
        <v>2295</v>
      </c>
      <c r="H16" s="2">
        <v>1043</v>
      </c>
      <c r="I16" s="2">
        <f t="shared" si="0"/>
        <v>1252</v>
      </c>
      <c r="J16" s="2">
        <f t="shared" si="1"/>
        <v>2295</v>
      </c>
    </row>
    <row r="17" spans="1:10" x14ac:dyDescent="0.25">
      <c r="A17" s="3" t="s">
        <v>62</v>
      </c>
      <c r="B17" s="1">
        <v>44536</v>
      </c>
      <c r="C17" t="s">
        <v>300</v>
      </c>
      <c r="D17" s="4" t="s">
        <v>313</v>
      </c>
      <c r="E17">
        <v>1</v>
      </c>
      <c r="F17" s="2">
        <v>1266</v>
      </c>
      <c r="G17" s="2">
        <v>2320</v>
      </c>
      <c r="H17" s="2">
        <v>1054</v>
      </c>
      <c r="I17" s="2">
        <f t="shared" si="0"/>
        <v>1266</v>
      </c>
      <c r="J17" s="2">
        <f t="shared" si="1"/>
        <v>2320</v>
      </c>
    </row>
    <row r="18" spans="1:10" x14ac:dyDescent="0.25">
      <c r="A18" s="3" t="s">
        <v>63</v>
      </c>
      <c r="B18" s="1">
        <v>44537</v>
      </c>
      <c r="C18" t="s">
        <v>252</v>
      </c>
      <c r="D18" s="4" t="s">
        <v>327</v>
      </c>
      <c r="E18">
        <v>4</v>
      </c>
      <c r="F18" s="2">
        <v>420</v>
      </c>
      <c r="G18" s="2">
        <v>769</v>
      </c>
      <c r="H18" s="2">
        <v>1396</v>
      </c>
      <c r="I18" s="2">
        <f t="shared" si="0"/>
        <v>1680</v>
      </c>
      <c r="J18" s="2">
        <f t="shared" si="1"/>
        <v>3076</v>
      </c>
    </row>
    <row r="19" spans="1:10" x14ac:dyDescent="0.25">
      <c r="A19" s="3" t="s">
        <v>65</v>
      </c>
      <c r="B19" s="1">
        <v>44537</v>
      </c>
      <c r="C19" t="s">
        <v>285</v>
      </c>
      <c r="D19" s="4" t="s">
        <v>313</v>
      </c>
      <c r="E19">
        <v>2</v>
      </c>
      <c r="F19" s="2">
        <v>1266</v>
      </c>
      <c r="G19" s="2">
        <v>2320</v>
      </c>
      <c r="H19" s="2">
        <v>2108</v>
      </c>
      <c r="I19" s="2">
        <f t="shared" si="0"/>
        <v>2532</v>
      </c>
      <c r="J19" s="2">
        <f t="shared" si="1"/>
        <v>4640</v>
      </c>
    </row>
    <row r="20" spans="1:10" x14ac:dyDescent="0.25">
      <c r="A20" s="3" t="s">
        <v>66</v>
      </c>
      <c r="B20" s="1">
        <v>44538</v>
      </c>
      <c r="C20" t="s">
        <v>234</v>
      </c>
      <c r="D20" s="4" t="s">
        <v>328</v>
      </c>
      <c r="E20">
        <v>4</v>
      </c>
      <c r="F20" s="2">
        <v>308</v>
      </c>
      <c r="G20" s="2">
        <v>565</v>
      </c>
      <c r="H20" s="2">
        <v>1028</v>
      </c>
      <c r="I20" s="2">
        <f t="shared" si="0"/>
        <v>1232</v>
      </c>
      <c r="J20" s="2">
        <f t="shared" si="1"/>
        <v>2260</v>
      </c>
    </row>
    <row r="21" spans="1:10" x14ac:dyDescent="0.25">
      <c r="A21" s="3" t="s">
        <v>68</v>
      </c>
      <c r="B21" s="1">
        <v>44538</v>
      </c>
      <c r="C21" t="s">
        <v>252</v>
      </c>
      <c r="D21" s="4" t="s">
        <v>313</v>
      </c>
      <c r="E21">
        <v>4</v>
      </c>
      <c r="F21" s="2">
        <v>1266</v>
      </c>
      <c r="G21" s="2">
        <v>2320</v>
      </c>
      <c r="H21" s="2">
        <v>4216</v>
      </c>
      <c r="I21" s="2">
        <f t="shared" si="0"/>
        <v>5064</v>
      </c>
      <c r="J21" s="2">
        <f t="shared" si="1"/>
        <v>9280</v>
      </c>
    </row>
    <row r="22" spans="1:10" x14ac:dyDescent="0.25">
      <c r="A22" s="3" t="s">
        <v>69</v>
      </c>
      <c r="B22" s="1">
        <v>44538</v>
      </c>
      <c r="C22" t="s">
        <v>289</v>
      </c>
      <c r="D22" s="4" t="s">
        <v>328</v>
      </c>
      <c r="E22">
        <v>2</v>
      </c>
      <c r="F22" s="2">
        <v>1252</v>
      </c>
      <c r="G22" s="2">
        <v>2295</v>
      </c>
      <c r="H22" s="2">
        <v>2086</v>
      </c>
      <c r="I22" s="2">
        <f t="shared" si="0"/>
        <v>2504</v>
      </c>
      <c r="J22" s="2">
        <f t="shared" si="1"/>
        <v>4590</v>
      </c>
    </row>
    <row r="23" spans="1:10" x14ac:dyDescent="0.25">
      <c r="A23" s="3" t="s">
        <v>71</v>
      </c>
      <c r="B23" s="1">
        <v>44538</v>
      </c>
      <c r="C23" t="s">
        <v>270</v>
      </c>
      <c r="D23" s="4" t="s">
        <v>328</v>
      </c>
      <c r="E23">
        <v>1</v>
      </c>
      <c r="F23" s="2">
        <v>295</v>
      </c>
      <c r="G23" s="2">
        <v>540</v>
      </c>
      <c r="H23" s="2">
        <v>245</v>
      </c>
      <c r="I23" s="2">
        <f t="shared" si="0"/>
        <v>295</v>
      </c>
      <c r="J23" s="2">
        <f t="shared" si="1"/>
        <v>540</v>
      </c>
    </row>
    <row r="24" spans="1:10" x14ac:dyDescent="0.25">
      <c r="A24" s="3" t="s">
        <v>73</v>
      </c>
      <c r="B24" s="1">
        <v>44539</v>
      </c>
      <c r="C24" t="s">
        <v>260</v>
      </c>
      <c r="D24" s="4" t="s">
        <v>311</v>
      </c>
      <c r="E24">
        <v>2</v>
      </c>
      <c r="F24" s="2">
        <v>1898</v>
      </c>
      <c r="G24" s="2">
        <v>3375</v>
      </c>
      <c r="H24" s="2">
        <v>2954</v>
      </c>
      <c r="I24" s="2">
        <f t="shared" si="0"/>
        <v>3796</v>
      </c>
      <c r="J24" s="2">
        <f t="shared" si="1"/>
        <v>6750</v>
      </c>
    </row>
    <row r="25" spans="1:10" x14ac:dyDescent="0.25">
      <c r="A25" s="3" t="s">
        <v>76</v>
      </c>
      <c r="B25" s="1">
        <v>44539</v>
      </c>
      <c r="C25" t="s">
        <v>295</v>
      </c>
      <c r="D25" s="4" t="s">
        <v>313</v>
      </c>
      <c r="E25">
        <v>1</v>
      </c>
      <c r="F25" s="2">
        <v>1266</v>
      </c>
      <c r="G25" s="2">
        <v>2320</v>
      </c>
      <c r="H25" s="2">
        <v>1054</v>
      </c>
      <c r="I25" s="2">
        <f t="shared" si="0"/>
        <v>1266</v>
      </c>
      <c r="J25" s="2">
        <f t="shared" si="1"/>
        <v>2320</v>
      </c>
    </row>
    <row r="26" spans="1:10" x14ac:dyDescent="0.25">
      <c r="A26" s="3" t="s">
        <v>78</v>
      </c>
      <c r="B26" s="1">
        <v>44540</v>
      </c>
      <c r="C26" t="s">
        <v>264</v>
      </c>
      <c r="D26" s="4" t="s">
        <v>313</v>
      </c>
      <c r="E26">
        <v>2</v>
      </c>
      <c r="F26" s="2">
        <v>1252</v>
      </c>
      <c r="G26" s="2">
        <v>2295</v>
      </c>
      <c r="H26" s="2">
        <v>2086</v>
      </c>
      <c r="I26" s="2">
        <f t="shared" si="0"/>
        <v>2504</v>
      </c>
      <c r="J26" s="2">
        <f t="shared" si="1"/>
        <v>4590</v>
      </c>
    </row>
    <row r="27" spans="1:10" x14ac:dyDescent="0.25">
      <c r="A27" s="3" t="s">
        <v>79</v>
      </c>
      <c r="B27" s="1">
        <v>44540</v>
      </c>
      <c r="C27" t="s">
        <v>291</v>
      </c>
      <c r="D27" s="4" t="s">
        <v>313</v>
      </c>
      <c r="E27">
        <v>2</v>
      </c>
      <c r="F27" s="2">
        <v>1252</v>
      </c>
      <c r="G27" s="2">
        <v>2295</v>
      </c>
      <c r="H27" s="2">
        <v>2086</v>
      </c>
      <c r="I27" s="2">
        <f t="shared" si="0"/>
        <v>2504</v>
      </c>
      <c r="J27" s="2">
        <f t="shared" si="1"/>
        <v>4590</v>
      </c>
    </row>
    <row r="28" spans="1:10" x14ac:dyDescent="0.25">
      <c r="A28" s="3" t="s">
        <v>80</v>
      </c>
      <c r="B28" s="1">
        <v>44540</v>
      </c>
      <c r="C28" t="s">
        <v>243</v>
      </c>
      <c r="D28" s="4" t="s">
        <v>313</v>
      </c>
      <c r="E28">
        <v>1</v>
      </c>
      <c r="F28" s="2">
        <v>1252</v>
      </c>
      <c r="G28" s="2">
        <v>2295</v>
      </c>
      <c r="H28" s="2">
        <v>1043</v>
      </c>
      <c r="I28" s="2">
        <f t="shared" si="0"/>
        <v>1252</v>
      </c>
      <c r="J28" s="2">
        <f t="shared" si="1"/>
        <v>2295</v>
      </c>
    </row>
    <row r="29" spans="1:10" x14ac:dyDescent="0.25">
      <c r="A29" s="3" t="s">
        <v>81</v>
      </c>
      <c r="B29" s="1">
        <v>44540</v>
      </c>
      <c r="C29" t="s">
        <v>264</v>
      </c>
      <c r="D29" s="4" t="s">
        <v>328</v>
      </c>
      <c r="E29">
        <v>1</v>
      </c>
      <c r="F29" s="2">
        <v>295</v>
      </c>
      <c r="G29" s="2">
        <v>540</v>
      </c>
      <c r="H29" s="2">
        <v>245</v>
      </c>
      <c r="I29" s="2">
        <f t="shared" si="0"/>
        <v>295</v>
      </c>
      <c r="J29" s="2">
        <f t="shared" si="1"/>
        <v>540</v>
      </c>
    </row>
    <row r="30" spans="1:10" x14ac:dyDescent="0.25">
      <c r="A30" s="3" t="s">
        <v>83</v>
      </c>
      <c r="B30" s="1">
        <v>44540</v>
      </c>
      <c r="C30" t="s">
        <v>264</v>
      </c>
      <c r="D30" s="4" t="s">
        <v>311</v>
      </c>
      <c r="E30">
        <v>1</v>
      </c>
      <c r="F30" s="2">
        <v>1912</v>
      </c>
      <c r="G30" s="2">
        <v>3400</v>
      </c>
      <c r="H30" s="2">
        <v>1488</v>
      </c>
      <c r="I30" s="2">
        <f t="shared" si="0"/>
        <v>1912</v>
      </c>
      <c r="J30" s="2">
        <f t="shared" si="1"/>
        <v>3400</v>
      </c>
    </row>
    <row r="31" spans="1:10" x14ac:dyDescent="0.25">
      <c r="A31" s="3" t="s">
        <v>85</v>
      </c>
      <c r="B31" s="1">
        <v>44540</v>
      </c>
      <c r="C31" t="s">
        <v>285</v>
      </c>
      <c r="D31" s="4" t="s">
        <v>313</v>
      </c>
      <c r="E31">
        <v>1</v>
      </c>
      <c r="F31" s="2">
        <v>1252</v>
      </c>
      <c r="G31" s="2">
        <v>2295</v>
      </c>
      <c r="H31" s="2">
        <v>1043</v>
      </c>
      <c r="I31" s="2">
        <f t="shared" si="0"/>
        <v>1252</v>
      </c>
      <c r="J31" s="2">
        <f t="shared" si="1"/>
        <v>2295</v>
      </c>
    </row>
    <row r="32" spans="1:10" x14ac:dyDescent="0.25">
      <c r="A32" s="3" t="s">
        <v>86</v>
      </c>
      <c r="B32" s="1">
        <v>44541</v>
      </c>
      <c r="C32" t="s">
        <v>238</v>
      </c>
      <c r="D32" s="4" t="s">
        <v>313</v>
      </c>
      <c r="E32">
        <v>3</v>
      </c>
      <c r="F32" s="2">
        <v>1252</v>
      </c>
      <c r="G32" s="2">
        <v>2295</v>
      </c>
      <c r="H32" s="2">
        <v>3129</v>
      </c>
      <c r="I32" s="2">
        <f t="shared" si="0"/>
        <v>3756</v>
      </c>
      <c r="J32" s="2">
        <f t="shared" si="1"/>
        <v>6885</v>
      </c>
    </row>
    <row r="33" spans="1:10" x14ac:dyDescent="0.25">
      <c r="A33" s="3" t="s">
        <v>89</v>
      </c>
      <c r="B33" s="1">
        <v>44541</v>
      </c>
      <c r="C33" t="s">
        <v>295</v>
      </c>
      <c r="D33" s="4" t="s">
        <v>327</v>
      </c>
      <c r="E33">
        <v>2</v>
      </c>
      <c r="F33" s="2">
        <v>420</v>
      </c>
      <c r="G33" s="2">
        <v>769</v>
      </c>
      <c r="H33" s="2">
        <v>698</v>
      </c>
      <c r="I33" s="2">
        <f t="shared" si="0"/>
        <v>840</v>
      </c>
      <c r="J33" s="2">
        <f t="shared" si="1"/>
        <v>1538</v>
      </c>
    </row>
    <row r="34" spans="1:10" x14ac:dyDescent="0.25">
      <c r="A34" s="3" t="s">
        <v>90</v>
      </c>
      <c r="B34" s="1">
        <v>44541</v>
      </c>
      <c r="C34" t="s">
        <v>246</v>
      </c>
      <c r="D34" s="4" t="s">
        <v>313</v>
      </c>
      <c r="E34">
        <v>1</v>
      </c>
      <c r="F34" s="2">
        <v>1252</v>
      </c>
      <c r="G34" s="2">
        <v>2295</v>
      </c>
      <c r="H34" s="2">
        <v>1043</v>
      </c>
      <c r="I34" s="2">
        <f t="shared" si="0"/>
        <v>1252</v>
      </c>
      <c r="J34" s="2">
        <f t="shared" si="1"/>
        <v>2295</v>
      </c>
    </row>
    <row r="35" spans="1:10" x14ac:dyDescent="0.25">
      <c r="A35" s="3" t="s">
        <v>91</v>
      </c>
      <c r="B35" s="1">
        <v>44541</v>
      </c>
      <c r="C35" t="s">
        <v>279</v>
      </c>
      <c r="D35" s="4" t="s">
        <v>327</v>
      </c>
      <c r="E35">
        <v>1</v>
      </c>
      <c r="F35" s="2">
        <v>420</v>
      </c>
      <c r="G35" s="2">
        <v>769</v>
      </c>
      <c r="H35" s="2">
        <v>349</v>
      </c>
      <c r="I35" s="2">
        <f t="shared" si="0"/>
        <v>420</v>
      </c>
      <c r="J35" s="2">
        <f t="shared" si="1"/>
        <v>769</v>
      </c>
    </row>
    <row r="36" spans="1:10" x14ac:dyDescent="0.25">
      <c r="A36" s="3" t="s">
        <v>92</v>
      </c>
      <c r="B36" s="1">
        <v>44541</v>
      </c>
      <c r="C36" t="s">
        <v>285</v>
      </c>
      <c r="D36" s="4" t="s">
        <v>313</v>
      </c>
      <c r="E36">
        <v>1</v>
      </c>
      <c r="F36" s="2">
        <v>1266</v>
      </c>
      <c r="G36" s="2">
        <v>2320</v>
      </c>
      <c r="H36" s="2">
        <v>1054</v>
      </c>
      <c r="I36" s="2">
        <f t="shared" si="0"/>
        <v>1266</v>
      </c>
      <c r="J36" s="2">
        <f t="shared" si="1"/>
        <v>2320</v>
      </c>
    </row>
    <row r="37" spans="1:10" x14ac:dyDescent="0.25">
      <c r="A37" s="3" t="s">
        <v>93</v>
      </c>
      <c r="B37" s="1">
        <v>44542</v>
      </c>
      <c r="C37" t="s">
        <v>273</v>
      </c>
      <c r="D37" s="4" t="s">
        <v>313</v>
      </c>
      <c r="E37">
        <v>4</v>
      </c>
      <c r="F37" s="2">
        <v>1266</v>
      </c>
      <c r="G37" s="2">
        <v>2320</v>
      </c>
      <c r="H37" s="2">
        <v>4216</v>
      </c>
      <c r="I37" s="2">
        <f t="shared" si="0"/>
        <v>5064</v>
      </c>
      <c r="J37" s="2">
        <f t="shared" si="1"/>
        <v>9280</v>
      </c>
    </row>
    <row r="38" spans="1:10" x14ac:dyDescent="0.25">
      <c r="A38" s="3" t="s">
        <v>94</v>
      </c>
      <c r="B38" s="1">
        <v>44542</v>
      </c>
      <c r="C38" t="s">
        <v>279</v>
      </c>
      <c r="D38" s="4" t="s">
        <v>327</v>
      </c>
      <c r="E38">
        <v>4</v>
      </c>
      <c r="F38" s="2">
        <v>420</v>
      </c>
      <c r="G38" s="2">
        <v>769</v>
      </c>
      <c r="H38" s="2">
        <v>1396</v>
      </c>
      <c r="I38" s="2">
        <f t="shared" si="0"/>
        <v>1680</v>
      </c>
      <c r="J38" s="2">
        <f t="shared" si="1"/>
        <v>3076</v>
      </c>
    </row>
    <row r="39" spans="1:10" x14ac:dyDescent="0.25">
      <c r="A39" s="3" t="s">
        <v>95</v>
      </c>
      <c r="B39" s="1">
        <v>44542</v>
      </c>
      <c r="C39" t="s">
        <v>264</v>
      </c>
      <c r="D39" s="4" t="s">
        <v>313</v>
      </c>
      <c r="E39">
        <v>2</v>
      </c>
      <c r="F39" s="2">
        <v>1252</v>
      </c>
      <c r="G39" s="2">
        <v>2295</v>
      </c>
      <c r="H39" s="2">
        <v>2086</v>
      </c>
      <c r="I39" s="2">
        <f t="shared" si="0"/>
        <v>2504</v>
      </c>
      <c r="J39" s="2">
        <f t="shared" si="1"/>
        <v>4590</v>
      </c>
    </row>
    <row r="40" spans="1:10" x14ac:dyDescent="0.25">
      <c r="A40" s="3" t="s">
        <v>96</v>
      </c>
      <c r="B40" s="1">
        <v>44542</v>
      </c>
      <c r="C40" t="s">
        <v>270</v>
      </c>
      <c r="D40" s="4" t="s">
        <v>313</v>
      </c>
      <c r="E40">
        <v>1</v>
      </c>
      <c r="F40" s="2">
        <v>1266</v>
      </c>
      <c r="G40" s="2">
        <v>2320</v>
      </c>
      <c r="H40" s="2">
        <v>1054</v>
      </c>
      <c r="I40" s="2">
        <f t="shared" si="0"/>
        <v>1266</v>
      </c>
      <c r="J40" s="2">
        <f t="shared" si="1"/>
        <v>2320</v>
      </c>
    </row>
    <row r="41" spans="1:10" x14ac:dyDescent="0.25">
      <c r="A41" s="3" t="s">
        <v>97</v>
      </c>
      <c r="B41" s="1">
        <v>44542</v>
      </c>
      <c r="C41" t="s">
        <v>285</v>
      </c>
      <c r="D41" s="4" t="s">
        <v>313</v>
      </c>
      <c r="E41">
        <v>1</v>
      </c>
      <c r="F41" s="2">
        <v>1266</v>
      </c>
      <c r="G41" s="2">
        <v>2320</v>
      </c>
      <c r="H41" s="2">
        <v>1054</v>
      </c>
      <c r="I41" s="2">
        <f t="shared" si="0"/>
        <v>1266</v>
      </c>
      <c r="J41" s="2">
        <f t="shared" si="1"/>
        <v>2320</v>
      </c>
    </row>
    <row r="42" spans="1:10" x14ac:dyDescent="0.25">
      <c r="A42" s="3" t="s">
        <v>98</v>
      </c>
      <c r="B42" s="1">
        <v>44543</v>
      </c>
      <c r="C42" t="s">
        <v>258</v>
      </c>
      <c r="D42" s="4" t="s">
        <v>313</v>
      </c>
      <c r="E42">
        <v>3</v>
      </c>
      <c r="F42" s="2">
        <v>1266</v>
      </c>
      <c r="G42" s="2">
        <v>2320</v>
      </c>
      <c r="H42" s="2">
        <v>3162</v>
      </c>
      <c r="I42" s="2">
        <f t="shared" si="0"/>
        <v>3798</v>
      </c>
      <c r="J42" s="2">
        <f t="shared" si="1"/>
        <v>6960</v>
      </c>
    </row>
    <row r="43" spans="1:10" x14ac:dyDescent="0.25">
      <c r="A43" s="3" t="s">
        <v>99</v>
      </c>
      <c r="B43" s="1">
        <v>44543</v>
      </c>
      <c r="C43" t="s">
        <v>291</v>
      </c>
      <c r="D43" s="4" t="s">
        <v>328</v>
      </c>
      <c r="E43">
        <v>1</v>
      </c>
      <c r="F43" s="2">
        <v>308</v>
      </c>
      <c r="G43" s="2">
        <v>565</v>
      </c>
      <c r="H43" s="2">
        <v>257</v>
      </c>
      <c r="I43" s="2">
        <f t="shared" si="0"/>
        <v>308</v>
      </c>
      <c r="J43" s="2">
        <f t="shared" si="1"/>
        <v>565</v>
      </c>
    </row>
    <row r="44" spans="1:10" x14ac:dyDescent="0.25">
      <c r="A44" s="3" t="s">
        <v>101</v>
      </c>
      <c r="B44" s="1">
        <v>44543</v>
      </c>
      <c r="C44" t="s">
        <v>299</v>
      </c>
      <c r="D44" s="4" t="s">
        <v>313</v>
      </c>
      <c r="E44">
        <v>1</v>
      </c>
      <c r="F44" s="2">
        <v>1252</v>
      </c>
      <c r="G44" s="2">
        <v>2295</v>
      </c>
      <c r="H44" s="2">
        <v>1043</v>
      </c>
      <c r="I44" s="2">
        <f t="shared" si="0"/>
        <v>1252</v>
      </c>
      <c r="J44" s="2">
        <f t="shared" si="1"/>
        <v>2295</v>
      </c>
    </row>
    <row r="45" spans="1:10" x14ac:dyDescent="0.25">
      <c r="A45" s="3" t="s">
        <v>102</v>
      </c>
      <c r="B45" s="1">
        <v>44543</v>
      </c>
      <c r="C45" t="s">
        <v>301</v>
      </c>
      <c r="D45" s="4" t="s">
        <v>313</v>
      </c>
      <c r="E45">
        <v>1</v>
      </c>
      <c r="F45" s="2">
        <v>1252</v>
      </c>
      <c r="G45" s="2">
        <v>2295</v>
      </c>
      <c r="H45" s="2">
        <v>1043</v>
      </c>
      <c r="I45" s="2">
        <f t="shared" si="0"/>
        <v>1252</v>
      </c>
      <c r="J45" s="2">
        <f t="shared" si="1"/>
        <v>2295</v>
      </c>
    </row>
    <row r="46" spans="1:10" x14ac:dyDescent="0.25">
      <c r="A46" s="3" t="s">
        <v>103</v>
      </c>
      <c r="B46" s="1">
        <v>44544</v>
      </c>
      <c r="C46" t="s">
        <v>252</v>
      </c>
      <c r="D46" s="4" t="s">
        <v>313</v>
      </c>
      <c r="E46">
        <v>2</v>
      </c>
      <c r="F46" s="2">
        <v>1266</v>
      </c>
      <c r="G46" s="2">
        <v>2320</v>
      </c>
      <c r="H46" s="2">
        <v>2108</v>
      </c>
      <c r="I46" s="2">
        <f t="shared" si="0"/>
        <v>2532</v>
      </c>
      <c r="J46" s="2">
        <f t="shared" si="1"/>
        <v>4640</v>
      </c>
    </row>
    <row r="47" spans="1:10" x14ac:dyDescent="0.25">
      <c r="A47" s="3" t="s">
        <v>104</v>
      </c>
      <c r="B47" s="1">
        <v>44544</v>
      </c>
      <c r="C47" t="s">
        <v>258</v>
      </c>
      <c r="D47" s="4" t="s">
        <v>313</v>
      </c>
      <c r="E47">
        <v>1</v>
      </c>
      <c r="F47" s="2">
        <v>1252</v>
      </c>
      <c r="G47" s="2">
        <v>2295</v>
      </c>
      <c r="H47" s="2">
        <v>1043</v>
      </c>
      <c r="I47" s="2">
        <f t="shared" si="0"/>
        <v>1252</v>
      </c>
      <c r="J47" s="2">
        <f t="shared" si="1"/>
        <v>2295</v>
      </c>
    </row>
    <row r="48" spans="1:10" x14ac:dyDescent="0.25">
      <c r="A48" s="3" t="s">
        <v>105</v>
      </c>
      <c r="B48" s="1">
        <v>44544</v>
      </c>
      <c r="C48" t="s">
        <v>258</v>
      </c>
      <c r="D48" s="4" t="s">
        <v>327</v>
      </c>
      <c r="E48">
        <v>1</v>
      </c>
      <c r="F48" s="2">
        <v>420</v>
      </c>
      <c r="G48" s="2">
        <v>769</v>
      </c>
      <c r="H48" s="2">
        <v>349</v>
      </c>
      <c r="I48" s="2">
        <f t="shared" si="0"/>
        <v>420</v>
      </c>
      <c r="J48" s="2">
        <f t="shared" si="1"/>
        <v>769</v>
      </c>
    </row>
    <row r="49" spans="1:10" x14ac:dyDescent="0.25">
      <c r="A49" s="3" t="s">
        <v>106</v>
      </c>
      <c r="B49" s="1">
        <v>44545</v>
      </c>
      <c r="C49" t="s">
        <v>248</v>
      </c>
      <c r="D49" s="4" t="s">
        <v>313</v>
      </c>
      <c r="E49">
        <v>1</v>
      </c>
      <c r="F49" s="2">
        <v>1266</v>
      </c>
      <c r="G49" s="2">
        <v>2320</v>
      </c>
      <c r="H49" s="2">
        <v>1054</v>
      </c>
      <c r="I49" s="2">
        <f t="shared" si="0"/>
        <v>1266</v>
      </c>
      <c r="J49" s="2">
        <f t="shared" si="1"/>
        <v>2320</v>
      </c>
    </row>
    <row r="50" spans="1:10" x14ac:dyDescent="0.25">
      <c r="A50" s="3" t="s">
        <v>107</v>
      </c>
      <c r="B50" s="1">
        <v>44546</v>
      </c>
      <c r="C50" t="s">
        <v>260</v>
      </c>
      <c r="D50" s="4" t="s">
        <v>313</v>
      </c>
      <c r="E50">
        <v>2</v>
      </c>
      <c r="F50" s="2">
        <v>1252</v>
      </c>
      <c r="G50" s="2">
        <v>2295</v>
      </c>
      <c r="H50" s="2">
        <v>2086</v>
      </c>
      <c r="I50" s="2">
        <f t="shared" si="0"/>
        <v>2504</v>
      </c>
      <c r="J50" s="2">
        <f t="shared" si="1"/>
        <v>4590</v>
      </c>
    </row>
    <row r="51" spans="1:10" x14ac:dyDescent="0.25">
      <c r="A51" s="3" t="s">
        <v>108</v>
      </c>
      <c r="B51" s="1">
        <v>44546</v>
      </c>
      <c r="C51" t="s">
        <v>285</v>
      </c>
      <c r="D51" s="4" t="s">
        <v>313</v>
      </c>
      <c r="E51">
        <v>2</v>
      </c>
      <c r="F51" s="2">
        <v>1252</v>
      </c>
      <c r="G51" s="2">
        <v>2295</v>
      </c>
      <c r="H51" s="2">
        <v>2086</v>
      </c>
      <c r="I51" s="2">
        <f t="shared" si="0"/>
        <v>2504</v>
      </c>
      <c r="J51" s="2">
        <f t="shared" si="1"/>
        <v>4590</v>
      </c>
    </row>
    <row r="52" spans="1:10" x14ac:dyDescent="0.25">
      <c r="A52" s="3" t="s">
        <v>109</v>
      </c>
      <c r="B52" s="1">
        <v>44546</v>
      </c>
      <c r="C52" t="s">
        <v>246</v>
      </c>
      <c r="D52" s="4" t="s">
        <v>313</v>
      </c>
      <c r="E52">
        <v>1</v>
      </c>
      <c r="F52" s="2">
        <v>1266</v>
      </c>
      <c r="G52" s="2">
        <v>2320</v>
      </c>
      <c r="H52" s="2">
        <v>1054</v>
      </c>
      <c r="I52" s="2">
        <f t="shared" si="0"/>
        <v>1266</v>
      </c>
      <c r="J52" s="2">
        <f t="shared" si="1"/>
        <v>2320</v>
      </c>
    </row>
    <row r="53" spans="1:10" x14ac:dyDescent="0.25">
      <c r="A53" s="3" t="s">
        <v>112</v>
      </c>
      <c r="B53" s="1">
        <v>44547</v>
      </c>
      <c r="C53" t="s">
        <v>279</v>
      </c>
      <c r="D53" s="4" t="s">
        <v>313</v>
      </c>
      <c r="E53">
        <v>2</v>
      </c>
      <c r="F53" s="2">
        <v>1266</v>
      </c>
      <c r="G53" s="2">
        <v>2320</v>
      </c>
      <c r="H53" s="2">
        <v>2108</v>
      </c>
      <c r="I53" s="2">
        <f t="shared" si="0"/>
        <v>2532</v>
      </c>
      <c r="J53" s="2">
        <f t="shared" si="1"/>
        <v>4640</v>
      </c>
    </row>
    <row r="54" spans="1:10" x14ac:dyDescent="0.25">
      <c r="A54" s="3" t="s">
        <v>113</v>
      </c>
      <c r="B54" s="1">
        <v>44547</v>
      </c>
      <c r="C54" t="s">
        <v>255</v>
      </c>
      <c r="D54" s="4" t="s">
        <v>327</v>
      </c>
      <c r="E54">
        <v>1</v>
      </c>
      <c r="F54" s="2">
        <v>420</v>
      </c>
      <c r="G54" s="2">
        <v>769</v>
      </c>
      <c r="H54" s="2">
        <v>349</v>
      </c>
      <c r="I54" s="2">
        <f t="shared" si="0"/>
        <v>420</v>
      </c>
      <c r="J54" s="2">
        <f t="shared" si="1"/>
        <v>769</v>
      </c>
    </row>
    <row r="55" spans="1:10" x14ac:dyDescent="0.25">
      <c r="A55" s="3" t="s">
        <v>114</v>
      </c>
      <c r="B55" s="1">
        <v>44547</v>
      </c>
      <c r="C55" t="s">
        <v>297</v>
      </c>
      <c r="D55" s="4" t="s">
        <v>313</v>
      </c>
      <c r="E55">
        <v>1</v>
      </c>
      <c r="F55" s="2">
        <v>1266</v>
      </c>
      <c r="G55" s="2">
        <v>2320</v>
      </c>
      <c r="H55" s="2">
        <v>1054</v>
      </c>
      <c r="I55" s="2">
        <f t="shared" si="0"/>
        <v>1266</v>
      </c>
      <c r="J55" s="2">
        <f t="shared" si="1"/>
        <v>2320</v>
      </c>
    </row>
    <row r="56" spans="1:10" x14ac:dyDescent="0.25">
      <c r="A56" s="3" t="s">
        <v>115</v>
      </c>
      <c r="B56" s="1">
        <v>44548</v>
      </c>
      <c r="C56" t="s">
        <v>270</v>
      </c>
      <c r="D56" s="4" t="s">
        <v>328</v>
      </c>
      <c r="E56">
        <v>4</v>
      </c>
      <c r="F56" s="2">
        <v>308</v>
      </c>
      <c r="G56" s="2">
        <v>565</v>
      </c>
      <c r="H56" s="2">
        <v>1028</v>
      </c>
      <c r="I56" s="2">
        <f t="shared" si="0"/>
        <v>1232</v>
      </c>
      <c r="J56" s="2">
        <f t="shared" si="1"/>
        <v>2260</v>
      </c>
    </row>
    <row r="57" spans="1:10" x14ac:dyDescent="0.25">
      <c r="A57" s="3" t="s">
        <v>116</v>
      </c>
      <c r="B57" s="1">
        <v>44548</v>
      </c>
      <c r="C57" t="s">
        <v>285</v>
      </c>
      <c r="D57" s="4" t="s">
        <v>313</v>
      </c>
      <c r="E57">
        <v>4</v>
      </c>
      <c r="F57" s="2">
        <v>1266</v>
      </c>
      <c r="G57" s="2">
        <v>2320</v>
      </c>
      <c r="H57" s="2">
        <v>4216</v>
      </c>
      <c r="I57" s="2">
        <f t="shared" si="0"/>
        <v>5064</v>
      </c>
      <c r="J57" s="2">
        <f t="shared" si="1"/>
        <v>9280</v>
      </c>
    </row>
    <row r="58" spans="1:10" x14ac:dyDescent="0.25">
      <c r="A58" s="3" t="s">
        <v>117</v>
      </c>
      <c r="B58" s="1">
        <v>44548</v>
      </c>
      <c r="C58" t="s">
        <v>238</v>
      </c>
      <c r="D58" s="4" t="s">
        <v>313</v>
      </c>
      <c r="E58">
        <v>3</v>
      </c>
      <c r="F58" s="2">
        <v>1266</v>
      </c>
      <c r="G58" s="2">
        <v>2320</v>
      </c>
      <c r="H58" s="2">
        <v>3162</v>
      </c>
      <c r="I58" s="2">
        <f t="shared" si="0"/>
        <v>3798</v>
      </c>
      <c r="J58" s="2">
        <f t="shared" si="1"/>
        <v>6960</v>
      </c>
    </row>
    <row r="59" spans="1:10" x14ac:dyDescent="0.25">
      <c r="A59" s="3" t="s">
        <v>119</v>
      </c>
      <c r="B59" s="1">
        <v>44548</v>
      </c>
      <c r="C59" t="s">
        <v>243</v>
      </c>
      <c r="D59" s="4" t="s">
        <v>327</v>
      </c>
      <c r="E59">
        <v>3</v>
      </c>
      <c r="F59" s="2">
        <v>420</v>
      </c>
      <c r="G59" s="2">
        <v>769</v>
      </c>
      <c r="H59" s="2">
        <v>1047</v>
      </c>
      <c r="I59" s="2">
        <f t="shared" si="0"/>
        <v>1260</v>
      </c>
      <c r="J59" s="2">
        <f t="shared" si="1"/>
        <v>2307</v>
      </c>
    </row>
    <row r="60" spans="1:10" x14ac:dyDescent="0.25">
      <c r="A60" s="3" t="s">
        <v>120</v>
      </c>
      <c r="B60" s="1">
        <v>44548</v>
      </c>
      <c r="C60" t="s">
        <v>289</v>
      </c>
      <c r="D60" s="4" t="s">
        <v>313</v>
      </c>
      <c r="E60">
        <v>3</v>
      </c>
      <c r="F60" s="2">
        <v>1252</v>
      </c>
      <c r="G60" s="2">
        <v>2295</v>
      </c>
      <c r="H60" s="2">
        <v>3129</v>
      </c>
      <c r="I60" s="2">
        <f t="shared" si="0"/>
        <v>3756</v>
      </c>
      <c r="J60" s="2">
        <f t="shared" si="1"/>
        <v>6885</v>
      </c>
    </row>
    <row r="61" spans="1:10" x14ac:dyDescent="0.25">
      <c r="A61" s="3" t="s">
        <v>121</v>
      </c>
      <c r="B61" s="1">
        <v>44548</v>
      </c>
      <c r="C61" t="s">
        <v>243</v>
      </c>
      <c r="D61" s="4" t="s">
        <v>313</v>
      </c>
      <c r="E61">
        <v>1</v>
      </c>
      <c r="F61" s="2">
        <v>1252</v>
      </c>
      <c r="G61" s="2">
        <v>2295</v>
      </c>
      <c r="H61" s="2">
        <v>1043</v>
      </c>
      <c r="I61" s="2">
        <f t="shared" si="0"/>
        <v>1252</v>
      </c>
      <c r="J61" s="2">
        <f t="shared" si="1"/>
        <v>2295</v>
      </c>
    </row>
    <row r="62" spans="1:10" x14ac:dyDescent="0.25">
      <c r="A62" s="3" t="s">
        <v>122</v>
      </c>
      <c r="B62" s="1">
        <v>44548</v>
      </c>
      <c r="C62" t="s">
        <v>273</v>
      </c>
      <c r="D62" s="4" t="s">
        <v>313</v>
      </c>
      <c r="E62">
        <v>1</v>
      </c>
      <c r="F62" s="2">
        <v>1266</v>
      </c>
      <c r="G62" s="2">
        <v>2320</v>
      </c>
      <c r="H62" s="2">
        <v>1054</v>
      </c>
      <c r="I62" s="2">
        <f t="shared" si="0"/>
        <v>1266</v>
      </c>
      <c r="J62" s="2">
        <f t="shared" si="1"/>
        <v>2320</v>
      </c>
    </row>
    <row r="63" spans="1:10" x14ac:dyDescent="0.25">
      <c r="A63" s="3" t="s">
        <v>123</v>
      </c>
      <c r="B63" s="1">
        <v>44549</v>
      </c>
      <c r="C63" t="s">
        <v>231</v>
      </c>
      <c r="D63" s="4" t="s">
        <v>313</v>
      </c>
      <c r="E63">
        <v>4</v>
      </c>
      <c r="F63" s="2">
        <v>1266</v>
      </c>
      <c r="G63" s="2">
        <v>2320</v>
      </c>
      <c r="H63" s="2">
        <v>4216</v>
      </c>
      <c r="I63" s="2">
        <f t="shared" si="0"/>
        <v>5064</v>
      </c>
      <c r="J63" s="2">
        <f t="shared" si="1"/>
        <v>9280</v>
      </c>
    </row>
    <row r="64" spans="1:10" x14ac:dyDescent="0.25">
      <c r="A64" s="3" t="s">
        <v>125</v>
      </c>
      <c r="B64" s="1">
        <v>44549</v>
      </c>
      <c r="C64" t="s">
        <v>234</v>
      </c>
      <c r="D64" s="4" t="s">
        <v>328</v>
      </c>
      <c r="E64">
        <v>4</v>
      </c>
      <c r="F64" s="2">
        <v>295</v>
      </c>
      <c r="G64" s="2">
        <v>540</v>
      </c>
      <c r="H64" s="2">
        <v>980</v>
      </c>
      <c r="I64" s="2">
        <f t="shared" si="0"/>
        <v>1180</v>
      </c>
      <c r="J64" s="2">
        <f t="shared" si="1"/>
        <v>2160</v>
      </c>
    </row>
    <row r="65" spans="1:10" x14ac:dyDescent="0.25">
      <c r="A65" s="3" t="s">
        <v>127</v>
      </c>
      <c r="B65" s="1">
        <v>44549</v>
      </c>
      <c r="C65" t="s">
        <v>239</v>
      </c>
      <c r="D65" s="4" t="s">
        <v>313</v>
      </c>
      <c r="E65">
        <v>4</v>
      </c>
      <c r="F65" s="2">
        <v>1252</v>
      </c>
      <c r="G65" s="2">
        <v>2295</v>
      </c>
      <c r="H65" s="2">
        <v>4172</v>
      </c>
      <c r="I65" s="2">
        <f t="shared" si="0"/>
        <v>5008</v>
      </c>
      <c r="J65" s="2">
        <f t="shared" si="1"/>
        <v>9180</v>
      </c>
    </row>
    <row r="66" spans="1:10" x14ac:dyDescent="0.25">
      <c r="A66" s="3" t="s">
        <v>128</v>
      </c>
      <c r="B66" s="1">
        <v>44549</v>
      </c>
      <c r="C66" t="s">
        <v>270</v>
      </c>
      <c r="D66" s="4" t="s">
        <v>311</v>
      </c>
      <c r="E66">
        <v>4</v>
      </c>
      <c r="F66" s="2">
        <v>1898</v>
      </c>
      <c r="G66" s="2">
        <v>3375</v>
      </c>
      <c r="H66" s="2">
        <v>5908</v>
      </c>
      <c r="I66" s="2">
        <f t="shared" si="0"/>
        <v>7592</v>
      </c>
      <c r="J66" s="2">
        <f t="shared" si="1"/>
        <v>13500</v>
      </c>
    </row>
    <row r="67" spans="1:10" x14ac:dyDescent="0.25">
      <c r="A67" s="3" t="s">
        <v>130</v>
      </c>
      <c r="B67" s="1">
        <v>44549</v>
      </c>
      <c r="C67" t="s">
        <v>279</v>
      </c>
      <c r="D67" s="4" t="s">
        <v>313</v>
      </c>
      <c r="E67">
        <v>4</v>
      </c>
      <c r="F67" s="2">
        <v>1252</v>
      </c>
      <c r="G67" s="2">
        <v>2295</v>
      </c>
      <c r="H67" s="2">
        <v>4172</v>
      </c>
      <c r="I67" s="2">
        <f t="shared" ref="I67:I89" si="2">E67*F67</f>
        <v>5008</v>
      </c>
      <c r="J67" s="2">
        <f t="shared" ref="J67:J89" si="3">E67*G67</f>
        <v>9180</v>
      </c>
    </row>
    <row r="68" spans="1:10" x14ac:dyDescent="0.25">
      <c r="A68" s="3" t="s">
        <v>131</v>
      </c>
      <c r="B68" s="1">
        <v>44549</v>
      </c>
      <c r="C68" t="s">
        <v>289</v>
      </c>
      <c r="D68" s="4" t="s">
        <v>313</v>
      </c>
      <c r="E68">
        <v>4</v>
      </c>
      <c r="F68" s="2">
        <v>1252</v>
      </c>
      <c r="G68" s="2">
        <v>2295</v>
      </c>
      <c r="H68" s="2">
        <v>4172</v>
      </c>
      <c r="I68" s="2">
        <f t="shared" si="2"/>
        <v>5008</v>
      </c>
      <c r="J68" s="2">
        <f t="shared" si="3"/>
        <v>9180</v>
      </c>
    </row>
    <row r="69" spans="1:10" x14ac:dyDescent="0.25">
      <c r="A69" s="3" t="s">
        <v>132</v>
      </c>
      <c r="B69" s="1">
        <v>44549</v>
      </c>
      <c r="C69" t="s">
        <v>304</v>
      </c>
      <c r="D69" s="4" t="s">
        <v>313</v>
      </c>
      <c r="E69">
        <v>4</v>
      </c>
      <c r="F69" s="2">
        <v>1252</v>
      </c>
      <c r="G69" s="2">
        <v>2295</v>
      </c>
      <c r="H69" s="2">
        <v>4172</v>
      </c>
      <c r="I69" s="2">
        <f t="shared" si="2"/>
        <v>5008</v>
      </c>
      <c r="J69" s="2">
        <f t="shared" si="3"/>
        <v>9180</v>
      </c>
    </row>
    <row r="70" spans="1:10" x14ac:dyDescent="0.25">
      <c r="A70" s="3" t="s">
        <v>133</v>
      </c>
      <c r="B70" s="1">
        <v>44549</v>
      </c>
      <c r="C70" t="s">
        <v>232</v>
      </c>
      <c r="D70" s="4" t="s">
        <v>328</v>
      </c>
      <c r="E70">
        <v>2</v>
      </c>
      <c r="F70" s="2">
        <v>295</v>
      </c>
      <c r="G70" s="2">
        <v>540</v>
      </c>
      <c r="H70" s="2">
        <v>490</v>
      </c>
      <c r="I70" s="2">
        <f t="shared" si="2"/>
        <v>590</v>
      </c>
      <c r="J70" s="2">
        <f t="shared" si="3"/>
        <v>1080</v>
      </c>
    </row>
    <row r="71" spans="1:10" x14ac:dyDescent="0.25">
      <c r="A71" s="3" t="s">
        <v>135</v>
      </c>
      <c r="B71" s="1">
        <v>44549</v>
      </c>
      <c r="C71" t="s">
        <v>302</v>
      </c>
      <c r="D71" s="4" t="s">
        <v>313</v>
      </c>
      <c r="E71">
        <v>2</v>
      </c>
      <c r="F71" s="2">
        <v>1252</v>
      </c>
      <c r="G71" s="2">
        <v>2295</v>
      </c>
      <c r="H71" s="2">
        <v>2086</v>
      </c>
      <c r="I71" s="2">
        <f t="shared" si="2"/>
        <v>2504</v>
      </c>
      <c r="J71" s="2">
        <f t="shared" si="3"/>
        <v>4590</v>
      </c>
    </row>
    <row r="72" spans="1:10" x14ac:dyDescent="0.25">
      <c r="A72" s="3" t="s">
        <v>137</v>
      </c>
      <c r="B72" s="1">
        <v>44549</v>
      </c>
      <c r="C72" t="s">
        <v>289</v>
      </c>
      <c r="D72" s="4" t="s">
        <v>313</v>
      </c>
      <c r="E72">
        <v>1</v>
      </c>
      <c r="F72" s="2">
        <v>1266</v>
      </c>
      <c r="G72" s="2">
        <v>2320</v>
      </c>
      <c r="H72" s="2">
        <v>1054</v>
      </c>
      <c r="I72" s="2">
        <f t="shared" si="2"/>
        <v>1266</v>
      </c>
      <c r="J72" s="2">
        <f t="shared" si="3"/>
        <v>2320</v>
      </c>
    </row>
    <row r="73" spans="1:10" x14ac:dyDescent="0.25">
      <c r="A73" s="3" t="s">
        <v>138</v>
      </c>
      <c r="B73" s="1">
        <v>44550</v>
      </c>
      <c r="C73" t="s">
        <v>260</v>
      </c>
      <c r="D73" s="4" t="s">
        <v>311</v>
      </c>
      <c r="E73">
        <v>4</v>
      </c>
      <c r="F73" s="2">
        <v>1898</v>
      </c>
      <c r="G73" s="2">
        <v>3375</v>
      </c>
      <c r="H73" s="2">
        <v>5908</v>
      </c>
      <c r="I73" s="2">
        <f t="shared" si="2"/>
        <v>7592</v>
      </c>
      <c r="J73" s="2">
        <f t="shared" si="3"/>
        <v>13500</v>
      </c>
    </row>
    <row r="74" spans="1:10" x14ac:dyDescent="0.25">
      <c r="A74" s="3" t="s">
        <v>139</v>
      </c>
      <c r="B74" s="1">
        <v>44550</v>
      </c>
      <c r="C74" t="s">
        <v>303</v>
      </c>
      <c r="D74" s="4" t="s">
        <v>313</v>
      </c>
      <c r="E74">
        <v>4</v>
      </c>
      <c r="F74" s="2">
        <v>1252</v>
      </c>
      <c r="G74" s="2">
        <v>2295</v>
      </c>
      <c r="H74" s="2">
        <v>4172</v>
      </c>
      <c r="I74" s="2">
        <f t="shared" si="2"/>
        <v>5008</v>
      </c>
      <c r="J74" s="2">
        <f t="shared" si="3"/>
        <v>9180</v>
      </c>
    </row>
    <row r="75" spans="1:10" x14ac:dyDescent="0.25">
      <c r="A75" s="3" t="s">
        <v>140</v>
      </c>
      <c r="B75" s="1">
        <v>44550</v>
      </c>
      <c r="C75" t="s">
        <v>248</v>
      </c>
      <c r="D75" s="4" t="s">
        <v>328</v>
      </c>
      <c r="E75">
        <v>3</v>
      </c>
      <c r="F75" s="2">
        <v>295</v>
      </c>
      <c r="G75" s="2">
        <v>540</v>
      </c>
      <c r="H75" s="2">
        <v>735</v>
      </c>
      <c r="I75" s="2">
        <f t="shared" si="2"/>
        <v>885</v>
      </c>
      <c r="J75" s="2">
        <f t="shared" si="3"/>
        <v>1620</v>
      </c>
    </row>
    <row r="76" spans="1:10" x14ac:dyDescent="0.25">
      <c r="A76" s="3" t="s">
        <v>142</v>
      </c>
      <c r="B76" s="1">
        <v>44550</v>
      </c>
      <c r="C76" t="s">
        <v>270</v>
      </c>
      <c r="D76" s="4" t="s">
        <v>313</v>
      </c>
      <c r="E76">
        <v>1</v>
      </c>
      <c r="F76" s="2">
        <v>1266</v>
      </c>
      <c r="G76" s="2">
        <v>2320</v>
      </c>
      <c r="H76" s="2">
        <v>1054</v>
      </c>
      <c r="I76" s="2">
        <f t="shared" si="2"/>
        <v>1266</v>
      </c>
      <c r="J76" s="2">
        <f t="shared" si="3"/>
        <v>2320</v>
      </c>
    </row>
    <row r="77" spans="1:10" x14ac:dyDescent="0.25">
      <c r="A77" s="3" t="s">
        <v>143</v>
      </c>
      <c r="B77" s="1">
        <v>44550</v>
      </c>
      <c r="C77" t="s">
        <v>270</v>
      </c>
      <c r="D77" s="4" t="s">
        <v>313</v>
      </c>
      <c r="E77">
        <v>1</v>
      </c>
      <c r="F77" s="2">
        <v>1266</v>
      </c>
      <c r="G77" s="2">
        <v>2320</v>
      </c>
      <c r="H77" s="2">
        <v>1054</v>
      </c>
      <c r="I77" s="2">
        <f t="shared" si="2"/>
        <v>1266</v>
      </c>
      <c r="J77" s="2">
        <f t="shared" si="3"/>
        <v>2320</v>
      </c>
    </row>
    <row r="78" spans="1:10" x14ac:dyDescent="0.25">
      <c r="A78" s="3" t="s">
        <v>144</v>
      </c>
      <c r="B78" s="1">
        <v>44551</v>
      </c>
      <c r="C78" t="s">
        <v>243</v>
      </c>
      <c r="D78" s="4" t="s">
        <v>313</v>
      </c>
      <c r="E78">
        <v>3</v>
      </c>
      <c r="F78" s="2">
        <v>1266</v>
      </c>
      <c r="G78" s="2">
        <v>2320</v>
      </c>
      <c r="H78" s="2">
        <v>3162</v>
      </c>
      <c r="I78" s="2">
        <f t="shared" si="2"/>
        <v>3798</v>
      </c>
      <c r="J78" s="2">
        <f t="shared" si="3"/>
        <v>6960</v>
      </c>
    </row>
    <row r="79" spans="1:10" x14ac:dyDescent="0.25">
      <c r="A79" s="3" t="s">
        <v>146</v>
      </c>
      <c r="B79" s="1">
        <v>44551</v>
      </c>
      <c r="C79" t="s">
        <v>235</v>
      </c>
      <c r="D79" s="4" t="s">
        <v>327</v>
      </c>
      <c r="E79">
        <v>2</v>
      </c>
      <c r="F79" s="2">
        <v>420</v>
      </c>
      <c r="G79" s="2">
        <v>769</v>
      </c>
      <c r="H79" s="2">
        <v>698</v>
      </c>
      <c r="I79" s="2">
        <f t="shared" si="2"/>
        <v>840</v>
      </c>
      <c r="J79" s="2">
        <f t="shared" si="3"/>
        <v>1538</v>
      </c>
    </row>
    <row r="80" spans="1:10" x14ac:dyDescent="0.25">
      <c r="A80" s="3" t="s">
        <v>147</v>
      </c>
      <c r="B80" s="1">
        <v>44552</v>
      </c>
      <c r="C80" t="s">
        <v>252</v>
      </c>
      <c r="D80" s="4" t="s">
        <v>313</v>
      </c>
      <c r="E80">
        <v>3</v>
      </c>
      <c r="F80" s="2">
        <v>1266</v>
      </c>
      <c r="G80" s="2">
        <v>2320</v>
      </c>
      <c r="H80" s="2">
        <v>3162</v>
      </c>
      <c r="I80" s="2">
        <f t="shared" si="2"/>
        <v>3798</v>
      </c>
      <c r="J80" s="2">
        <f t="shared" si="3"/>
        <v>6960</v>
      </c>
    </row>
    <row r="81" spans="1:10" x14ac:dyDescent="0.25">
      <c r="A81" s="3" t="s">
        <v>148</v>
      </c>
      <c r="B81" s="1">
        <v>44552</v>
      </c>
      <c r="C81" t="s">
        <v>295</v>
      </c>
      <c r="D81" s="4" t="s">
        <v>313</v>
      </c>
      <c r="E81">
        <v>3</v>
      </c>
      <c r="F81" s="2">
        <v>1252</v>
      </c>
      <c r="G81" s="2">
        <v>2295</v>
      </c>
      <c r="H81" s="2">
        <v>3129</v>
      </c>
      <c r="I81" s="2">
        <f t="shared" si="2"/>
        <v>3756</v>
      </c>
      <c r="J81" s="2">
        <f t="shared" si="3"/>
        <v>6885</v>
      </c>
    </row>
    <row r="82" spans="1:10" x14ac:dyDescent="0.25">
      <c r="A82" s="3" t="s">
        <v>149</v>
      </c>
      <c r="B82" s="1">
        <v>44552</v>
      </c>
      <c r="C82" t="s">
        <v>234</v>
      </c>
      <c r="D82" s="4" t="s">
        <v>328</v>
      </c>
      <c r="E82">
        <v>1</v>
      </c>
      <c r="F82" s="2">
        <v>308</v>
      </c>
      <c r="G82" s="2">
        <v>565</v>
      </c>
      <c r="H82" s="2">
        <v>257</v>
      </c>
      <c r="I82" s="2">
        <f t="shared" si="2"/>
        <v>308</v>
      </c>
      <c r="J82" s="2">
        <f t="shared" si="3"/>
        <v>565</v>
      </c>
    </row>
    <row r="83" spans="1:10" x14ac:dyDescent="0.25">
      <c r="A83" s="3" t="s">
        <v>150</v>
      </c>
      <c r="B83" s="1">
        <v>44552</v>
      </c>
      <c r="C83" t="s">
        <v>239</v>
      </c>
      <c r="D83" s="4" t="s">
        <v>313</v>
      </c>
      <c r="E83">
        <v>1</v>
      </c>
      <c r="F83" s="2">
        <v>1252</v>
      </c>
      <c r="G83" s="2">
        <v>2295</v>
      </c>
      <c r="H83" s="2">
        <v>1043</v>
      </c>
      <c r="I83" s="2">
        <f t="shared" si="2"/>
        <v>1252</v>
      </c>
      <c r="J83" s="2">
        <f t="shared" si="3"/>
        <v>2295</v>
      </c>
    </row>
    <row r="84" spans="1:10" x14ac:dyDescent="0.25">
      <c r="A84" s="3" t="s">
        <v>151</v>
      </c>
      <c r="B84" s="1">
        <v>44552</v>
      </c>
      <c r="C84" t="s">
        <v>246</v>
      </c>
      <c r="D84" s="4" t="s">
        <v>313</v>
      </c>
      <c r="E84">
        <v>1</v>
      </c>
      <c r="F84" s="2">
        <v>1252</v>
      </c>
      <c r="G84" s="2">
        <v>2295</v>
      </c>
      <c r="H84" s="2">
        <v>1043</v>
      </c>
      <c r="I84" s="2">
        <f t="shared" si="2"/>
        <v>1252</v>
      </c>
      <c r="J84" s="2">
        <f t="shared" si="3"/>
        <v>2295</v>
      </c>
    </row>
    <row r="85" spans="1:10" x14ac:dyDescent="0.25">
      <c r="A85" s="3" t="s">
        <v>152</v>
      </c>
      <c r="B85" s="1">
        <v>44552</v>
      </c>
      <c r="C85" t="s">
        <v>295</v>
      </c>
      <c r="D85" s="4" t="s">
        <v>313</v>
      </c>
      <c r="E85">
        <v>1</v>
      </c>
      <c r="F85" s="2">
        <v>1266</v>
      </c>
      <c r="G85" s="2">
        <v>2320</v>
      </c>
      <c r="H85" s="2">
        <v>1054</v>
      </c>
      <c r="I85" s="2">
        <f t="shared" si="2"/>
        <v>1266</v>
      </c>
      <c r="J85" s="2">
        <f t="shared" si="3"/>
        <v>2320</v>
      </c>
    </row>
    <row r="86" spans="1:10" x14ac:dyDescent="0.25">
      <c r="A86" s="3" t="s">
        <v>153</v>
      </c>
      <c r="B86" s="1">
        <v>44553</v>
      </c>
      <c r="C86" t="s">
        <v>252</v>
      </c>
      <c r="D86" s="4" t="s">
        <v>313</v>
      </c>
      <c r="E86">
        <v>1</v>
      </c>
      <c r="F86" s="2">
        <v>1266</v>
      </c>
      <c r="G86" s="2">
        <v>2320</v>
      </c>
      <c r="H86" s="2">
        <v>1054</v>
      </c>
      <c r="I86" s="2">
        <f t="shared" si="2"/>
        <v>1266</v>
      </c>
      <c r="J86" s="2">
        <f t="shared" si="3"/>
        <v>2320</v>
      </c>
    </row>
    <row r="87" spans="1:10" x14ac:dyDescent="0.25">
      <c r="A87" s="3" t="s">
        <v>154</v>
      </c>
      <c r="B87" s="1">
        <v>44553</v>
      </c>
      <c r="C87" t="s">
        <v>255</v>
      </c>
      <c r="D87" s="4" t="s">
        <v>313</v>
      </c>
      <c r="E87">
        <v>1</v>
      </c>
      <c r="F87" s="2">
        <v>1252</v>
      </c>
      <c r="G87" s="2">
        <v>2295</v>
      </c>
      <c r="H87" s="2">
        <v>1043</v>
      </c>
      <c r="I87" s="2">
        <f t="shared" si="2"/>
        <v>1252</v>
      </c>
      <c r="J87" s="2">
        <f t="shared" si="3"/>
        <v>2295</v>
      </c>
    </row>
    <row r="88" spans="1:10" x14ac:dyDescent="0.25">
      <c r="A88" s="3" t="s">
        <v>155</v>
      </c>
      <c r="B88" s="1">
        <v>44553</v>
      </c>
      <c r="C88" t="s">
        <v>270</v>
      </c>
      <c r="D88" s="4" t="s">
        <v>328</v>
      </c>
      <c r="E88">
        <v>1</v>
      </c>
      <c r="F88" s="2">
        <v>295</v>
      </c>
      <c r="G88" s="2">
        <v>540</v>
      </c>
      <c r="H88" s="2">
        <v>245</v>
      </c>
      <c r="I88" s="2">
        <f t="shared" si="2"/>
        <v>295</v>
      </c>
      <c r="J88" s="2">
        <f t="shared" si="3"/>
        <v>540</v>
      </c>
    </row>
    <row r="89" spans="1:10" x14ac:dyDescent="0.25">
      <c r="A89" s="3" t="s">
        <v>156</v>
      </c>
      <c r="B89" s="1">
        <v>44554</v>
      </c>
      <c r="C89" t="s">
        <v>285</v>
      </c>
      <c r="D89" s="4" t="s">
        <v>313</v>
      </c>
      <c r="E89">
        <v>4</v>
      </c>
      <c r="F89" s="2">
        <v>1252</v>
      </c>
      <c r="G89" s="2">
        <v>2295</v>
      </c>
      <c r="H89" s="2">
        <v>4172</v>
      </c>
      <c r="I89" s="2">
        <f t="shared" si="2"/>
        <v>5008</v>
      </c>
      <c r="J89" s="2">
        <f t="shared" si="3"/>
        <v>9180</v>
      </c>
    </row>
  </sheetData>
  <dataConsolidate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89"/>
  <sheetViews>
    <sheetView topLeftCell="A5" zoomScale="85" zoomScaleNormal="85" workbookViewId="0">
      <selection activeCell="G7" sqref="G7"/>
    </sheetView>
  </sheetViews>
  <sheetFormatPr defaultRowHeight="15" x14ac:dyDescent="0.25"/>
  <cols>
    <col min="1" max="1" width="13.28515625" bestFit="1" customWidth="1"/>
    <col min="2" max="2" width="10.7109375" bestFit="1" customWidth="1"/>
    <col min="3" max="3" width="4.28515625" bestFit="1" customWidth="1"/>
    <col min="4" max="4" width="10.140625" bestFit="1" customWidth="1"/>
    <col min="5" max="5" width="5" bestFit="1" customWidth="1"/>
    <col min="6" max="6" width="14.140625" bestFit="1" customWidth="1"/>
    <col min="7" max="7" width="19.42578125" style="5" bestFit="1" customWidth="1"/>
    <col min="8" max="8" width="17.5703125" bestFit="1" customWidth="1"/>
    <col min="9" max="9" width="15.42578125" bestFit="1" customWidth="1"/>
    <col min="10" max="10" width="20.28515625" bestFit="1" customWidth="1"/>
    <col min="11" max="11" width="16.85546875" bestFit="1" customWidth="1"/>
    <col min="12" max="12" width="14.85546875" bestFit="1" customWidth="1"/>
    <col min="13" max="13" width="24.7109375" bestFit="1" customWidth="1"/>
    <col min="14" max="14" width="15" bestFit="1" customWidth="1"/>
    <col min="15" max="15" width="10.5703125" bestFit="1" customWidth="1"/>
    <col min="16" max="16" width="11.140625" bestFit="1" customWidth="1"/>
    <col min="17" max="18" width="9.85546875" bestFit="1" customWidth="1"/>
    <col min="19" max="19" width="10.85546875" bestFit="1" customWidth="1"/>
  </cols>
  <sheetData>
    <row r="1" spans="1:19" s="6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5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4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5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4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5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4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5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4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5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4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5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4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5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4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5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4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5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4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5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4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5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4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5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4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5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4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5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4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5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4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5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4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5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4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5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4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5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4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5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4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5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4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5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4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5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4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5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4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5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4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5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4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5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4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5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4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5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4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5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4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5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4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5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4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5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4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5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4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5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4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5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4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5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4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5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4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5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4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5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4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5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4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5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4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5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4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5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4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5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4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5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4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5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4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5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4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5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4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5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4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5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4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5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4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5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4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5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4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5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4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5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4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5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4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5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4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5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4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5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4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5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4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5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4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5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4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5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4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5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4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5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4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5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4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5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4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5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4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5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4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5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4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5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4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5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4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5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4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5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4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5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4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5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4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5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4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5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4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5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4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5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4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5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4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5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4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5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4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5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4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5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4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5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4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5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4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36"/>
  <sheetViews>
    <sheetView tabSelected="1" topLeftCell="A13" zoomScale="70" zoomScaleNormal="70" workbookViewId="0">
      <selection activeCell="A34" sqref="A34"/>
    </sheetView>
  </sheetViews>
  <sheetFormatPr defaultRowHeight="15" x14ac:dyDescent="0.25"/>
  <cols>
    <col min="1" max="1" width="29.7109375" bestFit="1" customWidth="1"/>
    <col min="2" max="2" width="20.28515625" bestFit="1" customWidth="1"/>
    <col min="3" max="3" width="7.42578125" bestFit="1" customWidth="1"/>
    <col min="4" max="4" width="28.140625" bestFit="1" customWidth="1"/>
    <col min="5" max="5" width="7.42578125" bestFit="1" customWidth="1"/>
    <col min="6" max="6" width="16.42578125" bestFit="1" customWidth="1"/>
    <col min="7" max="7" width="6.28515625" bestFit="1" customWidth="1"/>
    <col min="8" max="8" width="19.7109375" bestFit="1" customWidth="1"/>
    <col min="9" max="9" width="7.42578125" bestFit="1" customWidth="1"/>
    <col min="10" max="10" width="21.140625" bestFit="1" customWidth="1"/>
    <col min="11" max="11" width="6.28515625" bestFit="1" customWidth="1"/>
    <col min="12" max="12" width="19.7109375" bestFit="1" customWidth="1"/>
    <col min="13" max="13" width="7.42578125" bestFit="1" customWidth="1"/>
  </cols>
  <sheetData>
    <row r="3" spans="1:10" x14ac:dyDescent="0.25">
      <c r="A3" s="9" t="s">
        <v>168</v>
      </c>
      <c r="B3" s="9" t="s">
        <v>169</v>
      </c>
    </row>
    <row r="4" spans="1:10" x14ac:dyDescent="0.25">
      <c r="A4" s="9" t="s">
        <v>166</v>
      </c>
      <c r="B4" t="s">
        <v>45</v>
      </c>
      <c r="C4" t="s">
        <v>40</v>
      </c>
      <c r="D4" t="s">
        <v>58</v>
      </c>
      <c r="E4" t="s">
        <v>50</v>
      </c>
      <c r="F4" t="s">
        <v>29</v>
      </c>
      <c r="G4" t="s">
        <v>87</v>
      </c>
      <c r="H4" t="s">
        <v>23</v>
      </c>
      <c r="I4" t="s">
        <v>36</v>
      </c>
      <c r="J4" t="s">
        <v>167</v>
      </c>
    </row>
    <row r="5" spans="1:10" x14ac:dyDescent="0.25">
      <c r="A5" s="5" t="s">
        <v>21</v>
      </c>
      <c r="B5" s="11">
        <v>1</v>
      </c>
      <c r="C5" s="11">
        <v>2</v>
      </c>
      <c r="D5" s="11">
        <v>0</v>
      </c>
      <c r="E5" s="11">
        <v>13</v>
      </c>
      <c r="F5" s="11">
        <v>4</v>
      </c>
      <c r="G5" s="11">
        <v>0</v>
      </c>
      <c r="H5" s="11">
        <v>47</v>
      </c>
      <c r="I5" s="11">
        <v>32</v>
      </c>
      <c r="J5" s="11">
        <v>99</v>
      </c>
    </row>
    <row r="6" spans="1:10" x14ac:dyDescent="0.25">
      <c r="A6" s="10" t="s">
        <v>28</v>
      </c>
      <c r="B6" s="11">
        <v>1</v>
      </c>
      <c r="C6" s="11">
        <v>0</v>
      </c>
      <c r="D6" s="11">
        <v>0</v>
      </c>
      <c r="E6" s="11">
        <v>5</v>
      </c>
      <c r="F6" s="11">
        <v>3</v>
      </c>
      <c r="G6" s="11">
        <v>0</v>
      </c>
      <c r="H6" s="11">
        <v>20</v>
      </c>
      <c r="I6" s="11">
        <v>15</v>
      </c>
      <c r="J6" s="11">
        <v>44</v>
      </c>
    </row>
    <row r="7" spans="1:10" x14ac:dyDescent="0.25">
      <c r="A7" s="10" t="s">
        <v>22</v>
      </c>
      <c r="B7" s="11">
        <v>0</v>
      </c>
      <c r="C7" s="11">
        <v>2</v>
      </c>
      <c r="D7" s="11">
        <v>0</v>
      </c>
      <c r="E7" s="11">
        <v>8</v>
      </c>
      <c r="F7" s="11">
        <v>1</v>
      </c>
      <c r="G7" s="11">
        <v>0</v>
      </c>
      <c r="H7" s="11">
        <v>27</v>
      </c>
      <c r="I7" s="11">
        <v>17</v>
      </c>
      <c r="J7" s="11">
        <v>55</v>
      </c>
    </row>
    <row r="8" spans="1:10" x14ac:dyDescent="0.25">
      <c r="A8" s="5" t="s">
        <v>35</v>
      </c>
      <c r="B8" s="11">
        <v>0</v>
      </c>
      <c r="C8" s="11">
        <v>0</v>
      </c>
      <c r="D8" s="11">
        <v>11</v>
      </c>
      <c r="E8" s="11">
        <v>0</v>
      </c>
      <c r="F8" s="11">
        <v>4</v>
      </c>
      <c r="G8" s="11">
        <v>10</v>
      </c>
      <c r="H8" s="11">
        <v>16</v>
      </c>
      <c r="I8" s="11">
        <v>20</v>
      </c>
      <c r="J8" s="11">
        <v>61</v>
      </c>
    </row>
    <row r="9" spans="1:10" x14ac:dyDescent="0.25">
      <c r="A9" s="10" t="s">
        <v>28</v>
      </c>
      <c r="B9" s="11">
        <v>0</v>
      </c>
      <c r="C9" s="11">
        <v>0</v>
      </c>
      <c r="D9" s="11">
        <v>5</v>
      </c>
      <c r="E9" s="11">
        <v>0</v>
      </c>
      <c r="F9" s="11">
        <v>1</v>
      </c>
      <c r="G9" s="11">
        <v>9</v>
      </c>
      <c r="H9" s="11">
        <v>6</v>
      </c>
      <c r="I9" s="11">
        <v>3</v>
      </c>
      <c r="J9" s="11">
        <v>24</v>
      </c>
    </row>
    <row r="10" spans="1:10" x14ac:dyDescent="0.25">
      <c r="A10" s="10" t="s">
        <v>22</v>
      </c>
      <c r="B10" s="11">
        <v>0</v>
      </c>
      <c r="C10" s="11">
        <v>0</v>
      </c>
      <c r="D10" s="11">
        <v>6</v>
      </c>
      <c r="E10" s="11">
        <v>0</v>
      </c>
      <c r="F10" s="11">
        <v>3</v>
      </c>
      <c r="G10" s="11">
        <v>1</v>
      </c>
      <c r="H10" s="11">
        <v>10</v>
      </c>
      <c r="I10" s="11">
        <v>17</v>
      </c>
      <c r="J10" s="11">
        <v>37</v>
      </c>
    </row>
    <row r="11" spans="1:10" x14ac:dyDescent="0.25">
      <c r="A11" s="5" t="s">
        <v>42</v>
      </c>
      <c r="B11" s="11">
        <v>0</v>
      </c>
      <c r="C11" s="11">
        <v>0</v>
      </c>
      <c r="D11" s="11">
        <v>0</v>
      </c>
      <c r="E11" s="11">
        <v>0</v>
      </c>
      <c r="F11" s="11">
        <v>6</v>
      </c>
      <c r="G11" s="11">
        <v>10</v>
      </c>
      <c r="H11" s="11">
        <v>0</v>
      </c>
      <c r="I11" s="11">
        <v>11</v>
      </c>
      <c r="J11" s="11">
        <v>27</v>
      </c>
    </row>
    <row r="12" spans="1:10" x14ac:dyDescent="0.25">
      <c r="A12" s="10" t="s">
        <v>28</v>
      </c>
      <c r="B12" s="11">
        <v>0</v>
      </c>
      <c r="C12" s="11">
        <v>0</v>
      </c>
      <c r="D12" s="11">
        <v>0</v>
      </c>
      <c r="E12" s="11">
        <v>0</v>
      </c>
      <c r="F12" s="11">
        <v>5</v>
      </c>
      <c r="G12" s="11">
        <v>4</v>
      </c>
      <c r="H12" s="11">
        <v>0</v>
      </c>
      <c r="I12" s="11">
        <v>2</v>
      </c>
      <c r="J12" s="11">
        <v>11</v>
      </c>
    </row>
    <row r="13" spans="1:10" x14ac:dyDescent="0.25">
      <c r="A13" s="10" t="s">
        <v>22</v>
      </c>
      <c r="B13" s="11">
        <v>0</v>
      </c>
      <c r="C13" s="11">
        <v>0</v>
      </c>
      <c r="D13" s="11">
        <v>0</v>
      </c>
      <c r="E13" s="11">
        <v>0</v>
      </c>
      <c r="F13" s="11">
        <v>1</v>
      </c>
      <c r="G13" s="11">
        <v>6</v>
      </c>
      <c r="H13" s="11">
        <v>0</v>
      </c>
      <c r="I13" s="11">
        <v>9</v>
      </c>
      <c r="J13" s="11">
        <v>16</v>
      </c>
    </row>
    <row r="14" spans="1:10" x14ac:dyDescent="0.25">
      <c r="A14" s="5" t="s">
        <v>167</v>
      </c>
      <c r="B14" s="11">
        <v>1</v>
      </c>
      <c r="C14" s="11">
        <v>2</v>
      </c>
      <c r="D14" s="11">
        <v>11</v>
      </c>
      <c r="E14" s="11">
        <v>13</v>
      </c>
      <c r="F14" s="11">
        <v>14</v>
      </c>
      <c r="G14" s="11">
        <v>20</v>
      </c>
      <c r="H14" s="11">
        <v>63</v>
      </c>
      <c r="I14" s="11">
        <v>63</v>
      </c>
      <c r="J14" s="11">
        <v>187</v>
      </c>
    </row>
    <row r="18" spans="1:2" x14ac:dyDescent="0.25">
      <c r="A18" s="9" t="s">
        <v>166</v>
      </c>
      <c r="B18" t="s">
        <v>329</v>
      </c>
    </row>
    <row r="19" spans="1:2" x14ac:dyDescent="0.25">
      <c r="A19" s="5" t="s">
        <v>29</v>
      </c>
      <c r="B19" s="12"/>
    </row>
    <row r="20" spans="1:2" x14ac:dyDescent="0.25">
      <c r="A20" s="10" t="s">
        <v>21</v>
      </c>
      <c r="B20" s="12"/>
    </row>
    <row r="21" spans="1:2" x14ac:dyDescent="0.25">
      <c r="A21" s="13" t="s">
        <v>22</v>
      </c>
      <c r="B21" s="12">
        <v>4615</v>
      </c>
    </row>
    <row r="22" spans="1:2" x14ac:dyDescent="0.25">
      <c r="A22" s="5" t="s">
        <v>58</v>
      </c>
      <c r="B22" s="12"/>
    </row>
    <row r="23" spans="1:2" x14ac:dyDescent="0.25">
      <c r="A23" s="10" t="s">
        <v>35</v>
      </c>
      <c r="B23" s="12"/>
    </row>
    <row r="24" spans="1:2" x14ac:dyDescent="0.25">
      <c r="A24" s="13" t="s">
        <v>22</v>
      </c>
      <c r="B24" s="12">
        <v>16114</v>
      </c>
    </row>
    <row r="25" spans="1:2" x14ac:dyDescent="0.25">
      <c r="A25" s="5" t="s">
        <v>87</v>
      </c>
      <c r="B25" s="12"/>
    </row>
    <row r="26" spans="1:2" x14ac:dyDescent="0.25">
      <c r="A26" s="10" t="s">
        <v>42</v>
      </c>
      <c r="B26" s="12"/>
    </row>
    <row r="27" spans="1:2" x14ac:dyDescent="0.25">
      <c r="A27" s="13" t="s">
        <v>22</v>
      </c>
      <c r="B27" s="12">
        <v>16140</v>
      </c>
    </row>
    <row r="28" spans="1:2" x14ac:dyDescent="0.25">
      <c r="A28" s="5" t="s">
        <v>50</v>
      </c>
      <c r="B28" s="12"/>
    </row>
    <row r="29" spans="1:2" x14ac:dyDescent="0.25">
      <c r="A29" s="10" t="s">
        <v>21</v>
      </c>
      <c r="B29" s="12"/>
    </row>
    <row r="30" spans="1:2" x14ac:dyDescent="0.25">
      <c r="A30" s="13" t="s">
        <v>22</v>
      </c>
      <c r="B30" s="12">
        <v>21245</v>
      </c>
    </row>
    <row r="31" spans="1:2" x14ac:dyDescent="0.25">
      <c r="A31" s="5" t="s">
        <v>23</v>
      </c>
      <c r="B31" s="12"/>
    </row>
    <row r="32" spans="1:2" x14ac:dyDescent="0.25">
      <c r="A32" s="10" t="s">
        <v>21</v>
      </c>
      <c r="B32" s="12"/>
    </row>
    <row r="33" spans="1:2" x14ac:dyDescent="0.25">
      <c r="A33" s="13" t="s">
        <v>28</v>
      </c>
      <c r="B33" s="12">
        <v>42278</v>
      </c>
    </row>
    <row r="34" spans="1:2" x14ac:dyDescent="0.25">
      <c r="A34" s="5" t="s">
        <v>36</v>
      </c>
      <c r="B34" s="12"/>
    </row>
    <row r="35" spans="1:2" x14ac:dyDescent="0.25">
      <c r="A35" s="10" t="s">
        <v>21</v>
      </c>
      <c r="B35" s="12"/>
    </row>
    <row r="36" spans="1:2" x14ac:dyDescent="0.25">
      <c r="A36" s="13" t="s">
        <v>28</v>
      </c>
      <c r="B36" s="12">
        <v>69925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ECD055AE-BC29-47FF-A193-2EBB750C196E}">
  <ds:schemaRefs/>
</ds:datastoreItem>
</file>

<file path=customXml/itemProps3.xml><?xml version="1.0" encoding="utf-8"?>
<ds:datastoreItem xmlns:ds="http://schemas.openxmlformats.org/officeDocument/2006/customXml" ds:itemID="{BE5FF3DE-68D1-4336-98C2-E613B14CA4A6}">
  <ds:schemaRefs/>
</ds:datastoreItem>
</file>

<file path=customXml/itemProps4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0B26CBCF-A835-4E0C-904E-C8CEE0BA00CD}">
  <ds:schemaRefs/>
</ds:datastoreItem>
</file>

<file path=customXml/itemProps6.xml><?xml version="1.0" encoding="utf-8"?>
<ds:datastoreItem xmlns:ds="http://schemas.openxmlformats.org/officeDocument/2006/customXml" ds:itemID="{FD49F167-C9A6-4F60-8890-3829D0D6E29B}">
  <ds:schemaRefs/>
</ds:datastoreItem>
</file>

<file path=customXml/itemProps7.xml><?xml version="1.0" encoding="utf-8"?>
<ds:datastoreItem xmlns:ds="http://schemas.openxmlformats.org/officeDocument/2006/customXml" ds:itemID="{A4099CB8-B7F5-4CEE-B10F-629747DC0442}">
  <ds:schemaRefs/>
</ds:datastoreItem>
</file>

<file path=customXml/itemProps8.xml><?xml version="1.0" encoding="utf-8"?>
<ds:datastoreItem xmlns:ds="http://schemas.openxmlformats.org/officeDocument/2006/customXml" ds:itemID="{D725E8B0-15F2-4CF2-8FA6-11024B20B042}">
  <ds:schemaRefs/>
</ds:datastoreItem>
</file>

<file path=customXml/itemProps9.xml><?xml version="1.0" encoding="utf-8"?>
<ds:datastoreItem xmlns:ds="http://schemas.openxmlformats.org/officeDocument/2006/customXml" ds:itemID="{B5043425-C933-4880-9BA2-68076FA50A4B}">
  <ds:schemaRefs/>
</ds:datastoreItem>
</file>

<file path=customXml/itemProps10.xml><?xml version="1.0" encoding="utf-8"?>
<ds:datastoreItem xmlns:ds="http://schemas.openxmlformats.org/officeDocument/2006/customXml" ds:itemID="{C915A3C3-F8FA-43FC-AD92-A9C39484DB39}">
  <ds:schemaRefs/>
</ds:datastoreItem>
</file>

<file path=customXml/itemProps11.xml><?xml version="1.0" encoding="utf-8"?>
<ds:datastoreItem xmlns:ds="http://schemas.openxmlformats.org/officeDocument/2006/customXml" ds:itemID="{B458EC25-0745-4416-B1E0-EF492DD9914A}">
  <ds:schemaRefs/>
</ds:datastoreItem>
</file>

<file path=customXml/itemProps12.xml><?xml version="1.0" encoding="utf-8"?>
<ds:datastoreItem xmlns:ds="http://schemas.openxmlformats.org/officeDocument/2006/customXml" ds:itemID="{E731094D-B7F8-40B6-85FC-43C9112820FA}">
  <ds:schemaRefs/>
</ds:datastoreItem>
</file>

<file path=customXml/itemProps13.xml><?xml version="1.0" encoding="utf-8"?>
<ds:datastoreItem xmlns:ds="http://schemas.openxmlformats.org/officeDocument/2006/customXml" ds:itemID="{C3D7B191-D96C-4712-B3AC-687A5FACB0CF}">
  <ds:schemaRefs/>
</ds:datastoreItem>
</file>

<file path=customXml/itemProps14.xml><?xml version="1.0" encoding="utf-8"?>
<ds:datastoreItem xmlns:ds="http://schemas.openxmlformats.org/officeDocument/2006/customXml" ds:itemID="{F469D3EE-1810-4C2A-9621-0CFC796CFF66}">
  <ds:schemaRefs/>
</ds:datastoreItem>
</file>

<file path=customXml/itemProps15.xml><?xml version="1.0" encoding="utf-8"?>
<ds:datastoreItem xmlns:ds="http://schemas.openxmlformats.org/officeDocument/2006/customXml" ds:itemID="{8AC3554E-0882-48F1-A254-716CC5E049FF}">
  <ds:schemaRefs/>
</ds:datastoreItem>
</file>

<file path=customXml/itemProps16.xml><?xml version="1.0" encoding="utf-8"?>
<ds:datastoreItem xmlns:ds="http://schemas.openxmlformats.org/officeDocument/2006/customXml" ds:itemID="{83A8D44B-9910-496B-87D4-9880F8FBAA58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FD7D6928-3D1E-4C56-ACD5-4FE2A4D8F63A}">
  <ds:schemaRefs/>
</ds:datastoreItem>
</file>

<file path=customXml/itemProps18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19.xml><?xml version="1.0" encoding="utf-8"?>
<ds:datastoreItem xmlns:ds="http://schemas.openxmlformats.org/officeDocument/2006/customXml" ds:itemID="{450BEE25-DE0C-4AEE-97A5-65E52C7A444E}">
  <ds:schemaRefs/>
</ds:datastoreItem>
</file>

<file path=customXml/itemProps20.xml><?xml version="1.0" encoding="utf-8"?>
<ds:datastoreItem xmlns:ds="http://schemas.openxmlformats.org/officeDocument/2006/customXml" ds:itemID="{61E66110-E317-4D7B-B24A-CC32D59F61EC}">
  <ds:schemaRefs/>
</ds:datastoreItem>
</file>

<file path=customXml/itemProps21.xml><?xml version="1.0" encoding="utf-8"?>
<ds:datastoreItem xmlns:ds="http://schemas.openxmlformats.org/officeDocument/2006/customXml" ds:itemID="{5FCD4E5E-231D-4C2B-BFA8-7D4B610CC27E}">
  <ds:schemaRefs>
    <ds:schemaRef ds:uri="http://www.w3.org/2001/XMLSchema"/>
    <ds:schemaRef ds:uri="http://microsoft.data.visualization.Client.Excel/1.0"/>
  </ds:schemaRefs>
</ds:datastoreItem>
</file>

<file path=customXml/itemProps22.xml><?xml version="1.0" encoding="utf-8"?>
<ds:datastoreItem xmlns:ds="http://schemas.openxmlformats.org/officeDocument/2006/customXml" ds:itemID="{78821845-CE6E-4488-9C39-0D374D4A1D3D}">
  <ds:schemaRefs>
    <ds:schemaRef ds:uri="http://www.w3.org/2001/XMLSchema"/>
    <ds:schemaRef ds:uri="http://microsoft.data.visualization.engine.tours/1.0"/>
  </ds:schemaRefs>
</ds:datastoreItem>
</file>

<file path=customXml/itemProps23.xml><?xml version="1.0" encoding="utf-8"?>
<ds:datastoreItem xmlns:ds="http://schemas.openxmlformats.org/officeDocument/2006/customXml" ds:itemID="{AFD6B528-B2E9-4C3D-A688-FC793659A459}">
  <ds:schemaRefs/>
</ds:datastoreItem>
</file>

<file path=customXml/itemProps24.xml><?xml version="1.0" encoding="utf-8"?>
<ds:datastoreItem xmlns:ds="http://schemas.openxmlformats.org/officeDocument/2006/customXml" ds:itemID="{85306B63-606D-4403-AC50-AC0412B1947C}">
  <ds:schemaRefs/>
</ds:datastoreItem>
</file>

<file path=customXml/itemProps25.xml><?xml version="1.0" encoding="utf-8"?>
<ds:datastoreItem xmlns:ds="http://schemas.openxmlformats.org/officeDocument/2006/customXml" ds:itemID="{16ACB62F-BEEA-4DC7-B9C2-940C735178C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ProductDesc_dim</vt:lpstr>
      <vt:lpstr>ProductClrSz_dim</vt:lpstr>
      <vt:lpstr>Country_dim</vt:lpstr>
      <vt:lpstr>Location_dim</vt:lpstr>
      <vt:lpstr>CustomerAge_dim</vt:lpstr>
      <vt:lpstr>age_Group_dim</vt:lpstr>
      <vt:lpstr>Client_dim</vt:lpstr>
      <vt:lpstr>Bike_Sales_fact</vt:lpstr>
      <vt:lpstr>Bike Sales</vt:lpstr>
      <vt:lpstr>PivotTable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Administrator</cp:lastModifiedBy>
  <cp:revision/>
  <dcterms:created xsi:type="dcterms:W3CDTF">2022-11-04T20:14:11Z</dcterms:created>
  <dcterms:modified xsi:type="dcterms:W3CDTF">2026-02-25T16:26:17Z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